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a 3\02民眾日常使用運具狀況調查\113年\19.資料公告\01.交通部網站\2_111年民眾日常使用運具狀況調查交叉統計表\"/>
    </mc:Choice>
  </mc:AlternateContent>
  <xr:revisionPtr revIDLastSave="0" documentId="13_ncr:1_{133A95E8-ABC1-45A2-9CDC-A41F72B195D8}" xr6:coauthVersionLast="47" xr6:coauthVersionMax="47" xr10:uidLastSave="{00000000-0000-0000-0000-000000000000}"/>
  <bookViews>
    <workbookView xWindow="-120" yWindow="-120" windowWidth="29040" windowHeight="15720" tabRatio="781" xr2:uid="{90F540FA-7BA6-45FC-9CF6-AA0110A50604}"/>
  </bookViews>
  <sheets>
    <sheet name="封面_公布版" sheetId="105" r:id="rId1"/>
    <sheet name="目錄頁" sheetId="80" r:id="rId2"/>
    <sheet name="A" sheetId="81" r:id="rId3"/>
    <sheet name="A01" sheetId="14" r:id="rId4"/>
    <sheet name="A02" sheetId="16" r:id="rId5"/>
    <sheet name="A03" sheetId="17" r:id="rId6"/>
    <sheet name="A04" sheetId="18" r:id="rId7"/>
    <sheet name="B" sheetId="82" r:id="rId8"/>
    <sheet name="B05" sheetId="1" r:id="rId9"/>
    <sheet name="B06" sheetId="3" r:id="rId10"/>
    <sheet name="B07" sheetId="5" r:id="rId11"/>
    <sheet name="C" sheetId="83" r:id="rId12"/>
    <sheet name="C08" sheetId="21" r:id="rId13"/>
    <sheet name="C09" sheetId="23" r:id="rId14"/>
    <sheet name="C10" sheetId="25" r:id="rId15"/>
    <sheet name="C11" sheetId="27" r:id="rId16"/>
    <sheet name="C12" sheetId="28" r:id="rId17"/>
    <sheet name="C13" sheetId="31" r:id="rId18"/>
    <sheet name="D" sheetId="84" r:id="rId19"/>
    <sheet name="D14" sheetId="62" r:id="rId20"/>
    <sheet name="D15" sheetId="64" r:id="rId21"/>
    <sheet name="D16" sheetId="66" r:id="rId22"/>
    <sheet name="D17" sheetId="68" r:id="rId23"/>
    <sheet name="D18" sheetId="69" r:id="rId24"/>
    <sheet name="D19" sheetId="72" r:id="rId25"/>
    <sheet name="表E" sheetId="85" r:id="rId26"/>
    <sheet name="E20" sheetId="32" r:id="rId27"/>
    <sheet name="E21" sheetId="33" r:id="rId28"/>
    <sheet name="E22" sheetId="34" r:id="rId29"/>
    <sheet name="E23" sheetId="35" r:id="rId30"/>
  </sheets>
  <definedNames>
    <definedName name="_xlnm._FilterDatabase" localSheetId="2" hidden="1">A!#REF!</definedName>
    <definedName name="_xlnm._FilterDatabase" localSheetId="3" hidden="1">'A01'!$A$9:$G$84</definedName>
    <definedName name="_xlnm._FilterDatabase" localSheetId="4" hidden="1">'A02'!$A$9:$K$99</definedName>
    <definedName name="_xlnm._FilterDatabase" localSheetId="5" hidden="1">'A03'!$A$9:$P$105</definedName>
    <definedName name="_xlnm._FilterDatabase" localSheetId="6" hidden="1">'A04'!$A$9:$I$106</definedName>
    <definedName name="_xlnm._FilterDatabase" localSheetId="7" hidden="1">B!#REF!</definedName>
    <definedName name="_xlnm._FilterDatabase" localSheetId="8" hidden="1">'B05'!$A$9:$I$83</definedName>
    <definedName name="_xlnm._FilterDatabase" localSheetId="9" hidden="1">'B06'!$A$9:$I$80</definedName>
    <definedName name="_xlnm._FilterDatabase" localSheetId="10" hidden="1">'B07'!$A$9:$I$84</definedName>
    <definedName name="_xlnm._FilterDatabase" localSheetId="11" hidden="1">'C'!#REF!</definedName>
    <definedName name="_xlnm._FilterDatabase" localSheetId="12" hidden="1">'C08'!$A$9:$H$102</definedName>
    <definedName name="_xlnm._FilterDatabase" localSheetId="13" hidden="1">'C09'!$A$9:$M$99</definedName>
    <definedName name="_xlnm._FilterDatabase" localSheetId="16" hidden="1">'C12'!$A$9:$T$98</definedName>
    <definedName name="_xlnm._FilterDatabase" localSheetId="18" hidden="1">D!#REF!</definedName>
    <definedName name="_xlnm._FilterDatabase" localSheetId="19" hidden="1">'D14'!$A$9:$H$102</definedName>
    <definedName name="_xlnm._FilterDatabase" localSheetId="20" hidden="1">'D15'!$A$9:$M$99</definedName>
    <definedName name="_xlnm._FilterDatabase" localSheetId="23" hidden="1">'D18'!$A$9:$T$98</definedName>
    <definedName name="_xlnm._FilterDatabase" localSheetId="26" hidden="1">'E20'!$A$9:$L$118</definedName>
    <definedName name="_xlnm._FilterDatabase" localSheetId="27" hidden="1">'E21'!$A$9:$P$118</definedName>
    <definedName name="_xlnm._FilterDatabase" localSheetId="28" hidden="1">'E22'!$A$9:$M$102</definedName>
    <definedName name="_xlnm._FilterDatabase" localSheetId="29" hidden="1">'E23'!$A$9:$M$98</definedName>
    <definedName name="_xlnm._FilterDatabase" localSheetId="1" hidden="1">目錄頁!$A$2:$B$39</definedName>
    <definedName name="_xlnm._FilterDatabase" localSheetId="25" hidden="1">表E!#REF!</definedName>
    <definedName name="_xlnm.Print_Area" localSheetId="6">'A04'!$A$1:$I$106</definedName>
    <definedName name="_xlnm.Print_Area" localSheetId="12">'C08'!$A$1:$H$102</definedName>
    <definedName name="_xlnm.Print_Area" localSheetId="15">'C11'!$A$1:$T$102</definedName>
    <definedName name="_xlnm.Print_Area" localSheetId="19">'D14'!$A$1:$H$102</definedName>
    <definedName name="_xlnm.Print_Area" localSheetId="22">'D17'!$A$1:$T$102</definedName>
    <definedName name="_xlnm.Print_Area" localSheetId="23">'D18'!$A$1:$T$98</definedName>
    <definedName name="_xlnm.Print_Area" localSheetId="1">目錄頁!$A$1:$A$31</definedName>
    <definedName name="_xlnm.Print_Titles" localSheetId="3">'A01'!$1:$9</definedName>
    <definedName name="_xlnm.Print_Titles" localSheetId="4">'A02'!$1:$9</definedName>
    <definedName name="_xlnm.Print_Titles" localSheetId="5">'A03'!$1:$9</definedName>
    <definedName name="_xlnm.Print_Titles" localSheetId="6">'A04'!$1:$9</definedName>
    <definedName name="_xlnm.Print_Titles" localSheetId="7">B!#REF!</definedName>
    <definedName name="_xlnm.Print_Titles" localSheetId="8">'B05'!$1:$9</definedName>
    <definedName name="_xlnm.Print_Titles" localSheetId="9">'B06'!$1:$9</definedName>
    <definedName name="_xlnm.Print_Titles" localSheetId="10">'B07'!$1:$9</definedName>
    <definedName name="_xlnm.Print_Titles" localSheetId="11">'C'!#REF!</definedName>
    <definedName name="_xlnm.Print_Titles" localSheetId="12">'C08'!$1:$9</definedName>
    <definedName name="_xlnm.Print_Titles" localSheetId="13">'C09'!$1:$9</definedName>
    <definedName name="_xlnm.Print_Titles" localSheetId="14">'C10'!$A:$C,'C10'!$1:$9</definedName>
    <definedName name="_xlnm.Print_Titles" localSheetId="15">'C11'!$A:$E,'C11'!$1:$9</definedName>
    <definedName name="_xlnm.Print_Titles" localSheetId="16">'C12'!$A:$E,'C12'!$1:$9</definedName>
    <definedName name="_xlnm.Print_Titles" localSheetId="17">'C13'!$A:$C,'C13'!$1:$9</definedName>
    <definedName name="_xlnm.Print_Titles" localSheetId="18">D!#REF!</definedName>
    <definedName name="_xlnm.Print_Titles" localSheetId="19">'D14'!$1:$9</definedName>
    <definedName name="_xlnm.Print_Titles" localSheetId="20">'D15'!$1:$9</definedName>
    <definedName name="_xlnm.Print_Titles" localSheetId="21">'D16'!$A:$C,'D16'!$1:$9</definedName>
    <definedName name="_xlnm.Print_Titles" localSheetId="22">'D17'!$A:$E,'D17'!$1:$9</definedName>
    <definedName name="_xlnm.Print_Titles" localSheetId="23">'D18'!$A:$E,'D18'!$1:$9</definedName>
    <definedName name="_xlnm.Print_Titles" localSheetId="24">'D19'!$A:$C,'D19'!$1:$9</definedName>
    <definedName name="_xlnm.Print_Titles" localSheetId="26">'E20'!$1:$9</definedName>
    <definedName name="_xlnm.Print_Titles" localSheetId="27">'E21'!$1:$9</definedName>
    <definedName name="_xlnm.Print_Titles" localSheetId="28">'E22'!$1:$9</definedName>
    <definedName name="_xlnm.Print_Titles" localSheetId="29">'E23'!$1:$9</definedName>
    <definedName name="_xlnm.Print_Titles" localSheetId="25">表E!#REF!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21" l="1"/>
  <c r="G97" i="28"/>
  <c r="P97" i="28"/>
  <c r="P96" i="28"/>
  <c r="F101" i="27"/>
  <c r="G101" i="27"/>
  <c r="H101" i="27"/>
  <c r="I101" i="27"/>
  <c r="J101" i="27"/>
  <c r="K101" i="27"/>
  <c r="L101" i="27"/>
  <c r="M101" i="27"/>
  <c r="N101" i="27"/>
  <c r="O101" i="27"/>
  <c r="P101" i="27"/>
  <c r="Q101" i="27"/>
  <c r="R101" i="27"/>
  <c r="S101" i="27"/>
  <c r="T101" i="27"/>
  <c r="C52" i="69" l="1"/>
  <c r="C53" i="69"/>
  <c r="C54" i="69"/>
  <c r="C52" i="68"/>
  <c r="C53" i="68"/>
  <c r="C54" i="68"/>
  <c r="C52" i="28"/>
  <c r="C53" i="28"/>
  <c r="C54" i="28"/>
  <c r="C52" i="27"/>
  <c r="C53" i="27"/>
  <c r="C54" i="27"/>
  <c r="C56" i="69"/>
  <c r="C57" i="69"/>
  <c r="C58" i="69"/>
  <c r="C56" i="68"/>
  <c r="C57" i="68"/>
  <c r="C58" i="68"/>
  <c r="C56" i="28"/>
  <c r="C57" i="28"/>
  <c r="C58" i="28"/>
  <c r="C56" i="27"/>
  <c r="C57" i="27"/>
  <c r="C58" i="27"/>
  <c r="C44" i="69"/>
  <c r="C45" i="69"/>
  <c r="C46" i="69"/>
  <c r="C48" i="69"/>
  <c r="C49" i="69"/>
  <c r="C50" i="69"/>
  <c r="C51" i="69"/>
  <c r="C55" i="69"/>
  <c r="C61" i="69"/>
  <c r="C62" i="69"/>
  <c r="C63" i="69"/>
  <c r="C64" i="69"/>
  <c r="C65" i="69"/>
  <c r="C66" i="69"/>
  <c r="C67" i="69"/>
  <c r="C44" i="68"/>
  <c r="C45" i="68"/>
  <c r="C46" i="68"/>
  <c r="C48" i="68"/>
  <c r="C49" i="68"/>
  <c r="C50" i="68"/>
  <c r="C51" i="68"/>
  <c r="C55" i="68"/>
  <c r="C61" i="68"/>
  <c r="C62" i="68"/>
  <c r="C63" i="68"/>
  <c r="C64" i="68"/>
  <c r="C65" i="68"/>
  <c r="C66" i="68"/>
  <c r="C67" i="68"/>
  <c r="C44" i="28"/>
  <c r="C45" i="28"/>
  <c r="C46" i="28"/>
  <c r="C48" i="28"/>
  <c r="C49" i="28"/>
  <c r="C50" i="28"/>
  <c r="C51" i="28"/>
  <c r="C55" i="28"/>
  <c r="C61" i="28"/>
  <c r="C62" i="28"/>
  <c r="C63" i="28"/>
  <c r="C64" i="28"/>
  <c r="C65" i="28"/>
  <c r="C66" i="28"/>
  <c r="C67" i="28"/>
  <c r="C44" i="27"/>
  <c r="C45" i="27"/>
  <c r="C46" i="27"/>
  <c r="C48" i="27"/>
  <c r="C49" i="27"/>
  <c r="C50" i="27"/>
  <c r="C51" i="27"/>
  <c r="C55" i="27"/>
  <c r="C61" i="27"/>
  <c r="C62" i="27"/>
  <c r="C63" i="27"/>
  <c r="C64" i="27"/>
  <c r="C65" i="27"/>
  <c r="C66" i="27"/>
  <c r="C67" i="27"/>
  <c r="D97" i="35"/>
  <c r="E97" i="35"/>
  <c r="F97" i="35"/>
  <c r="G97" i="35"/>
  <c r="H97" i="35"/>
  <c r="I97" i="35"/>
  <c r="J97" i="35"/>
  <c r="K97" i="35"/>
  <c r="L97" i="35"/>
  <c r="M97" i="35"/>
  <c r="D101" i="34"/>
  <c r="E101" i="34"/>
  <c r="F101" i="34"/>
  <c r="G101" i="34"/>
  <c r="H101" i="34"/>
  <c r="I101" i="34"/>
  <c r="J101" i="34"/>
  <c r="K101" i="34"/>
  <c r="L101" i="34"/>
  <c r="M101" i="34"/>
  <c r="D117" i="33"/>
  <c r="E117" i="33"/>
  <c r="F117" i="33"/>
  <c r="G117" i="33"/>
  <c r="H117" i="33"/>
  <c r="I117" i="33"/>
  <c r="J117" i="33"/>
  <c r="K117" i="33"/>
  <c r="L117" i="33"/>
  <c r="M117" i="33"/>
  <c r="N117" i="33"/>
  <c r="O117" i="33"/>
  <c r="P117" i="33"/>
  <c r="D34" i="32"/>
  <c r="E34" i="32" s="1"/>
  <c r="D35" i="32"/>
  <c r="D117" i="32"/>
  <c r="E117" i="32"/>
  <c r="F117" i="32"/>
  <c r="G117" i="32"/>
  <c r="H117" i="32"/>
  <c r="I117" i="32"/>
  <c r="J117" i="32"/>
  <c r="K117" i="32"/>
  <c r="L117" i="32"/>
  <c r="D83" i="5"/>
  <c r="E83" i="5"/>
  <c r="F83" i="5"/>
  <c r="G83" i="5"/>
  <c r="H83" i="5"/>
  <c r="I83" i="5"/>
  <c r="D79" i="3"/>
  <c r="E79" i="3"/>
  <c r="F79" i="3"/>
  <c r="G79" i="3"/>
  <c r="H79" i="3"/>
  <c r="I79" i="3"/>
  <c r="D82" i="1"/>
  <c r="E82" i="1"/>
  <c r="F82" i="1"/>
  <c r="G82" i="1"/>
  <c r="H82" i="1"/>
  <c r="I82" i="1"/>
  <c r="D105" i="18"/>
  <c r="E105" i="18"/>
  <c r="F105" i="18"/>
  <c r="G105" i="18"/>
  <c r="H105" i="18"/>
  <c r="I105" i="18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P104" i="17"/>
  <c r="D98" i="16"/>
  <c r="E98" i="16"/>
  <c r="F98" i="16"/>
  <c r="G98" i="16"/>
  <c r="H98" i="16"/>
  <c r="I98" i="16"/>
  <c r="J98" i="16"/>
  <c r="K98" i="16"/>
  <c r="D83" i="14"/>
  <c r="E83" i="14"/>
  <c r="F83" i="14"/>
  <c r="G83" i="14"/>
  <c r="D71" i="72"/>
  <c r="E71" i="72"/>
  <c r="F71" i="72"/>
  <c r="G71" i="72"/>
  <c r="H71" i="72"/>
  <c r="I71" i="72"/>
  <c r="J71" i="72"/>
  <c r="K71" i="72"/>
  <c r="L71" i="72"/>
  <c r="M71" i="72"/>
  <c r="N71" i="72"/>
  <c r="O71" i="72"/>
  <c r="P71" i="72"/>
  <c r="Q71" i="72"/>
  <c r="R71" i="72"/>
  <c r="S71" i="72"/>
  <c r="T71" i="72"/>
  <c r="U71" i="72"/>
  <c r="V71" i="72"/>
  <c r="W71" i="72"/>
  <c r="X71" i="72"/>
  <c r="Y71" i="72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6" i="69"/>
  <c r="C37" i="69"/>
  <c r="C38" i="69"/>
  <c r="C39" i="69"/>
  <c r="C40" i="69"/>
  <c r="C41" i="69"/>
  <c r="C42" i="69"/>
  <c r="C43" i="69"/>
  <c r="C70" i="69"/>
  <c r="C71" i="69"/>
  <c r="C72" i="69"/>
  <c r="C73" i="69"/>
  <c r="C74" i="69"/>
  <c r="C75" i="69"/>
  <c r="C79" i="69"/>
  <c r="C80" i="69"/>
  <c r="C81" i="69"/>
  <c r="C82" i="69"/>
  <c r="C83" i="69"/>
  <c r="D97" i="69"/>
  <c r="E97" i="69"/>
  <c r="F97" i="69"/>
  <c r="G97" i="69"/>
  <c r="H97" i="69"/>
  <c r="I97" i="69"/>
  <c r="J97" i="69"/>
  <c r="K97" i="69"/>
  <c r="L97" i="69"/>
  <c r="M97" i="69"/>
  <c r="N97" i="69"/>
  <c r="O97" i="69"/>
  <c r="P97" i="69"/>
  <c r="Q97" i="69"/>
  <c r="R97" i="69"/>
  <c r="S97" i="69"/>
  <c r="T97" i="69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6" i="68"/>
  <c r="C37" i="68"/>
  <c r="C38" i="68"/>
  <c r="C39" i="68"/>
  <c r="C40" i="68"/>
  <c r="C41" i="68"/>
  <c r="C42" i="68"/>
  <c r="C43" i="68"/>
  <c r="C70" i="68"/>
  <c r="C71" i="68"/>
  <c r="C72" i="68"/>
  <c r="C73" i="68"/>
  <c r="C74" i="68"/>
  <c r="C75" i="68"/>
  <c r="C76" i="68"/>
  <c r="C77" i="68"/>
  <c r="C78" i="68"/>
  <c r="C79" i="68"/>
  <c r="C83" i="68"/>
  <c r="C84" i="68"/>
  <c r="C85" i="68"/>
  <c r="C86" i="68"/>
  <c r="C87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R101" i="68"/>
  <c r="S101" i="68"/>
  <c r="T101" i="68"/>
  <c r="D74" i="66"/>
  <c r="E74" i="66"/>
  <c r="F74" i="66"/>
  <c r="G74" i="66"/>
  <c r="H74" i="66"/>
  <c r="I74" i="66"/>
  <c r="J74" i="66"/>
  <c r="K74" i="66"/>
  <c r="L74" i="66"/>
  <c r="M74" i="66"/>
  <c r="N74" i="66"/>
  <c r="O74" i="66"/>
  <c r="P74" i="66"/>
  <c r="Q74" i="66"/>
  <c r="R74" i="66"/>
  <c r="S74" i="66"/>
  <c r="T74" i="66"/>
  <c r="U74" i="66"/>
  <c r="V74" i="66"/>
  <c r="W74" i="66"/>
  <c r="X74" i="66"/>
  <c r="Y74" i="66"/>
  <c r="D75" i="66"/>
  <c r="E75" i="66"/>
  <c r="F75" i="66"/>
  <c r="G75" i="66"/>
  <c r="H75" i="66"/>
  <c r="I75" i="66"/>
  <c r="J75" i="66"/>
  <c r="K75" i="66"/>
  <c r="L75" i="66"/>
  <c r="M75" i="66"/>
  <c r="N75" i="66"/>
  <c r="O75" i="66"/>
  <c r="P75" i="66"/>
  <c r="Q75" i="66"/>
  <c r="R75" i="66"/>
  <c r="S75" i="66"/>
  <c r="T75" i="66"/>
  <c r="U75" i="66"/>
  <c r="V75" i="66"/>
  <c r="W75" i="66"/>
  <c r="X75" i="66"/>
  <c r="Y75" i="66"/>
  <c r="D98" i="64"/>
  <c r="E98" i="64"/>
  <c r="F98" i="64"/>
  <c r="G98" i="64"/>
  <c r="H98" i="64"/>
  <c r="I98" i="64"/>
  <c r="J98" i="64"/>
  <c r="K98" i="64"/>
  <c r="L98" i="64"/>
  <c r="M98" i="64"/>
  <c r="D101" i="62"/>
  <c r="E101" i="62"/>
  <c r="F101" i="62"/>
  <c r="G101" i="62"/>
  <c r="H101" i="62"/>
  <c r="D71" i="31"/>
  <c r="E71" i="31"/>
  <c r="F71" i="31"/>
  <c r="G71" i="31"/>
  <c r="H71" i="31"/>
  <c r="I71" i="31"/>
  <c r="J71" i="31"/>
  <c r="K71" i="31"/>
  <c r="L71" i="31"/>
  <c r="M71" i="31"/>
  <c r="N71" i="31"/>
  <c r="O71" i="31"/>
  <c r="P71" i="31"/>
  <c r="Q71" i="31"/>
  <c r="R71" i="31"/>
  <c r="S71" i="31"/>
  <c r="T71" i="31"/>
  <c r="U71" i="31"/>
  <c r="V71" i="31"/>
  <c r="W71" i="31"/>
  <c r="X71" i="31"/>
  <c r="Y71" i="31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6" i="28"/>
  <c r="C37" i="28"/>
  <c r="C38" i="28"/>
  <c r="C39" i="28"/>
  <c r="C40" i="28"/>
  <c r="C41" i="28"/>
  <c r="C42" i="28"/>
  <c r="C43" i="28"/>
  <c r="C70" i="28"/>
  <c r="C71" i="28"/>
  <c r="C72" i="28"/>
  <c r="C73" i="28"/>
  <c r="C74" i="28"/>
  <c r="C75" i="28"/>
  <c r="C79" i="28"/>
  <c r="C80" i="28"/>
  <c r="C81" i="28"/>
  <c r="C82" i="28"/>
  <c r="C83" i="28"/>
  <c r="D97" i="28"/>
  <c r="E97" i="28"/>
  <c r="F97" i="28"/>
  <c r="H97" i="28"/>
  <c r="I97" i="28"/>
  <c r="J97" i="28"/>
  <c r="K97" i="28"/>
  <c r="L97" i="28"/>
  <c r="M97" i="28"/>
  <c r="N97" i="28"/>
  <c r="O97" i="28"/>
  <c r="Q97" i="28"/>
  <c r="R97" i="28"/>
  <c r="S97" i="28"/>
  <c r="T97" i="28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6" i="27"/>
  <c r="C37" i="27"/>
  <c r="C38" i="27"/>
  <c r="C39" i="27"/>
  <c r="C40" i="27"/>
  <c r="C41" i="27"/>
  <c r="C42" i="27"/>
  <c r="C43" i="27"/>
  <c r="C70" i="27"/>
  <c r="C71" i="27"/>
  <c r="C72" i="27"/>
  <c r="C73" i="27"/>
  <c r="C74" i="27"/>
  <c r="C75" i="27"/>
  <c r="C76" i="27"/>
  <c r="C77" i="27"/>
  <c r="C78" i="27"/>
  <c r="C79" i="27"/>
  <c r="C83" i="27"/>
  <c r="C84" i="27"/>
  <c r="C85" i="27"/>
  <c r="C86" i="27"/>
  <c r="C87" i="27"/>
  <c r="D101" i="27"/>
  <c r="E101" i="27"/>
  <c r="D75" i="25"/>
  <c r="E75" i="25"/>
  <c r="F75" i="25"/>
  <c r="G75" i="25"/>
  <c r="H75" i="25"/>
  <c r="I75" i="25"/>
  <c r="J75" i="25"/>
  <c r="K75" i="25"/>
  <c r="L75" i="25"/>
  <c r="M75" i="25"/>
  <c r="N75" i="25"/>
  <c r="O75" i="25"/>
  <c r="P75" i="25"/>
  <c r="Q75" i="25"/>
  <c r="R75" i="25"/>
  <c r="S75" i="25"/>
  <c r="T75" i="25"/>
  <c r="U75" i="25"/>
  <c r="V75" i="25"/>
  <c r="W75" i="25"/>
  <c r="X75" i="25"/>
  <c r="Y75" i="25"/>
  <c r="D98" i="23"/>
  <c r="E98" i="23"/>
  <c r="F98" i="23"/>
  <c r="G98" i="23"/>
  <c r="H98" i="23"/>
  <c r="I98" i="23"/>
  <c r="J98" i="23"/>
  <c r="K98" i="23"/>
  <c r="L98" i="23"/>
  <c r="M98" i="23"/>
  <c r="E101" i="21"/>
  <c r="F101" i="21"/>
  <c r="G101" i="21"/>
  <c r="H101" i="21"/>
  <c r="K34" i="32" l="1"/>
  <c r="K35" i="32" s="1"/>
  <c r="I34" i="32"/>
  <c r="I35" i="32" s="1"/>
  <c r="H34" i="33"/>
  <c r="H35" i="33" s="1"/>
  <c r="J34" i="32"/>
  <c r="J35" i="32" s="1"/>
  <c r="H34" i="32"/>
  <c r="H35" i="32" s="1"/>
  <c r="L34" i="32"/>
  <c r="L35" i="32" s="1"/>
  <c r="F34" i="32"/>
  <c r="F35" i="32" s="1"/>
  <c r="G34" i="32"/>
  <c r="G35" i="32" s="1"/>
  <c r="E35" i="32"/>
</calcChain>
</file>

<file path=xl/sharedStrings.xml><?xml version="1.0" encoding="utf-8"?>
<sst xmlns="http://schemas.openxmlformats.org/spreadsheetml/2006/main" count="2548" uniqueCount="317">
  <si>
    <t>公共
運輸工具</t>
    <phoneticPr fontId="1" type="noConversion"/>
  </si>
  <si>
    <t>非機動
運輸工具</t>
    <phoneticPr fontId="1" type="noConversion"/>
  </si>
  <si>
    <t>私人機動
運輸工具</t>
    <phoneticPr fontId="1" type="noConversion"/>
  </si>
  <si>
    <t>小學及以下</t>
    <phoneticPr fontId="1" type="noConversion"/>
  </si>
  <si>
    <t>研究所及以上</t>
    <phoneticPr fontId="1" type="noConversion"/>
  </si>
  <si>
    <t>外出目的</t>
    <phoneticPr fontId="1" type="noConversion"/>
  </si>
  <si>
    <t>通勤</t>
    <phoneticPr fontId="1" type="noConversion"/>
  </si>
  <si>
    <t>通學</t>
    <phoneticPr fontId="1" type="noConversion"/>
  </si>
  <si>
    <t>購物</t>
    <phoneticPr fontId="1" type="noConversion"/>
  </si>
  <si>
    <t>家庭及個人活動</t>
    <phoneticPr fontId="1" type="noConversion"/>
  </si>
  <si>
    <t>休閒</t>
    <phoneticPr fontId="1" type="noConversion"/>
  </si>
  <si>
    <t>非機動
運具</t>
    <phoneticPr fontId="1" type="noConversion"/>
  </si>
  <si>
    <t>拒答</t>
    <phoneticPr fontId="1" type="noConversion"/>
  </si>
  <si>
    <t>臺鐵</t>
    <phoneticPr fontId="1" type="noConversion"/>
  </si>
  <si>
    <t>捷運</t>
    <phoneticPr fontId="1" type="noConversion"/>
  </si>
  <si>
    <t>高鐵</t>
    <phoneticPr fontId="1" type="noConversion"/>
  </si>
  <si>
    <t>步行</t>
    <phoneticPr fontId="1" type="noConversion"/>
  </si>
  <si>
    <t>機車</t>
    <phoneticPr fontId="1" type="noConversion"/>
  </si>
  <si>
    <t>自用
小客車</t>
    <phoneticPr fontId="1" type="noConversion"/>
  </si>
  <si>
    <t>***</t>
  </si>
  <si>
    <t xml:space="preserve"> </t>
  </si>
  <si>
    <t>項目別</t>
  </si>
  <si>
    <t>全體</t>
  </si>
  <si>
    <t>居住縣市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</si>
  <si>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</si>
  <si>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</si>
  <si>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</si>
  <si>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</si>
  <si>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</si>
  <si>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</si>
  <si>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</si>
  <si>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</si>
  <si>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</si>
  <si>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</si>
  <si>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</si>
  <si>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</si>
  <si>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</si>
  <si>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</si>
  <si>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</si>
  <si>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</si>
  <si>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</si>
  <si>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</si>
  <si>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</si>
  <si>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</si>
  <si>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</si>
  <si>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</si>
  <si>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性別</t>
  </si>
  <si>
    <t>男</t>
  </si>
  <si>
    <t>女</t>
  </si>
  <si>
    <t>年齡</t>
  </si>
  <si>
    <t>教育程度</t>
  </si>
  <si>
    <t>專科</t>
  </si>
  <si>
    <t>大學</t>
  </si>
  <si>
    <t>職業</t>
  </si>
  <si>
    <t>農林漁牧</t>
  </si>
  <si>
    <t>工業</t>
  </si>
  <si>
    <t>服務事業</t>
  </si>
  <si>
    <t>軍公教</t>
  </si>
  <si>
    <t>料理家事</t>
  </si>
  <si>
    <t>退休人員</t>
  </si>
  <si>
    <t>未就業者</t>
  </si>
  <si>
    <t>學生</t>
  </si>
  <si>
    <t>年度別</t>
  </si>
  <si>
    <t>機車</t>
  </si>
  <si>
    <t>捷運</t>
  </si>
  <si>
    <t>臺鐵</t>
  </si>
  <si>
    <t>高鐵</t>
  </si>
  <si>
    <t>渡輪</t>
  </si>
  <si>
    <t>國道客運</t>
  </si>
  <si>
    <t>步行</t>
  </si>
  <si>
    <t>自用小客車</t>
  </si>
  <si>
    <t>平均數</t>
  </si>
  <si>
    <t>出發時間</t>
  </si>
  <si>
    <t>通勤</t>
  </si>
  <si>
    <t>通學</t>
  </si>
  <si>
    <t>拒答</t>
  </si>
  <si>
    <t>購物</t>
  </si>
  <si>
    <t>同鄉鎮市</t>
  </si>
  <si>
    <t>跨鄉鎮市</t>
  </si>
  <si>
    <t>有外出</t>
  </si>
  <si>
    <t>沒有外出</t>
  </si>
  <si>
    <t>總計</t>
    <phoneticPr fontId="1" type="noConversion"/>
  </si>
  <si>
    <t>僅上班</t>
    <phoneticPr fontId="1" type="noConversion"/>
  </si>
  <si>
    <t>僅上學</t>
    <phoneticPr fontId="1" type="noConversion"/>
  </si>
  <si>
    <t>兩者皆有</t>
    <phoneticPr fontId="1" type="noConversion"/>
  </si>
  <si>
    <t>兩者皆無</t>
    <phoneticPr fontId="1" type="noConversion"/>
  </si>
  <si>
    <t>同縣市</t>
    <phoneticPr fontId="1" type="noConversion"/>
  </si>
  <si>
    <t>家庭及
個人活動</t>
    <phoneticPr fontId="1" type="noConversion"/>
  </si>
  <si>
    <t>使用運具</t>
    <phoneticPr fontId="1" type="noConversion"/>
  </si>
  <si>
    <t>非機動運具</t>
    <phoneticPr fontId="1" type="noConversion"/>
  </si>
  <si>
    <t>私人機動運具</t>
    <phoneticPr fontId="1" type="noConversion"/>
  </si>
  <si>
    <t>昨天使用運具</t>
    <phoneticPr fontId="1" type="noConversion"/>
  </si>
  <si>
    <t>***</t>
    <phoneticPr fontId="1" type="noConversion"/>
  </si>
  <si>
    <t>學生</t>
    <phoneticPr fontId="1" type="noConversion"/>
  </si>
  <si>
    <t>未就業者</t>
    <phoneticPr fontId="1" type="noConversion"/>
  </si>
  <si>
    <t xml:space="preserve">   調查對象為昨天外出目的為通勤學民眾，以運具次數角度做分析。</t>
  </si>
  <si>
    <t xml:space="preserve">        調查對象為昨天有外出民眾，以運具次數角度做分析。</t>
  </si>
  <si>
    <t>調查對象為昨天有外出民眾，以旅次角度做分析。</t>
    <phoneticPr fontId="1" type="noConversion"/>
  </si>
  <si>
    <t>調查對象為目前有在工作民眾，以人的角度做分析。</t>
    <phoneticPr fontId="1" type="noConversion"/>
  </si>
  <si>
    <t>調查對象為昨天有外出的民眾，以人的角度做分析。</t>
    <phoneticPr fontId="1" type="noConversion"/>
  </si>
  <si>
    <t>調查對象為昨天外出目的為通勤學民眾，以旅次的角度做分析。</t>
    <phoneticPr fontId="1" type="noConversion"/>
  </si>
  <si>
    <t>調查對象為昨天有外出的民眾，以旅次的角度做分析。</t>
    <phoneticPr fontId="1" type="noConversion"/>
  </si>
  <si>
    <t>調查對象為昨天外出目的為通勤學民眾，以運具次數角度做分析。</t>
    <phoneticPr fontId="1" type="noConversion"/>
  </si>
  <si>
    <t>調查對象為昨天有外出民眾，以運具次數角度做分析。</t>
    <phoneticPr fontId="1" type="noConversion"/>
  </si>
  <si>
    <t>調查對象為目前有在上學民眾，以人的角度做分析。</t>
    <phoneticPr fontId="1" type="noConversion"/>
  </si>
  <si>
    <t xml:space="preserve">               調查對象為昨天有外出民眾，以運具次數角度做分析。</t>
    <phoneticPr fontId="1" type="noConversion"/>
  </si>
  <si>
    <t>公共運輸</t>
  </si>
  <si>
    <t>15-未滿18歲</t>
  </si>
  <si>
    <t>18-未滿20歲</t>
  </si>
  <si>
    <t>20-未滿30歲</t>
  </si>
  <si>
    <t>30-未滿40歲</t>
  </si>
  <si>
    <t>40-未滿50歲</t>
  </si>
  <si>
    <t>50-未滿60歲</t>
  </si>
  <si>
    <t>60-未滿65歲</t>
  </si>
  <si>
    <t>65歲及以上</t>
  </si>
  <si>
    <t>國(初)中</t>
    <phoneticPr fontId="1" type="noConversion"/>
  </si>
  <si>
    <t>高中(職)</t>
    <phoneticPr fontId="1" type="noConversion"/>
  </si>
  <si>
    <t>不知道/無意見</t>
  </si>
  <si>
    <t>不知道/無意見</t>
    <phoneticPr fontId="1" type="noConversion"/>
  </si>
  <si>
    <t>單位：人；%</t>
    <phoneticPr fontId="1" type="noConversion"/>
  </si>
  <si>
    <t>0次</t>
    <phoneticPr fontId="1" type="noConversion"/>
  </si>
  <si>
    <t>4次</t>
    <phoneticPr fontId="1" type="noConversion"/>
  </si>
  <si>
    <t>公(商)務</t>
    <phoneticPr fontId="1" type="noConversion"/>
  </si>
  <si>
    <t>7時以前</t>
    <phoneticPr fontId="1" type="noConversion"/>
  </si>
  <si>
    <t>7時-未滿9時</t>
    <phoneticPr fontId="1" type="noConversion"/>
  </si>
  <si>
    <t>17時-未滿19時</t>
    <phoneticPr fontId="1" type="noConversion"/>
  </si>
  <si>
    <t>19時-未滿22時</t>
    <phoneticPr fontId="1" type="noConversion"/>
  </si>
  <si>
    <t>22時以後</t>
    <phoneticPr fontId="1" type="noConversion"/>
  </si>
  <si>
    <t>40-50分鐘</t>
    <phoneticPr fontId="1" type="noConversion"/>
  </si>
  <si>
    <t>98年度</t>
  </si>
  <si>
    <t>99年度</t>
  </si>
  <si>
    <t>100年度</t>
  </si>
  <si>
    <t>101年度</t>
  </si>
  <si>
    <t>102年度</t>
  </si>
  <si>
    <t>103年度</t>
  </si>
  <si>
    <t>104年度</t>
  </si>
  <si>
    <t>105年度</t>
  </si>
  <si>
    <t>60分鐘
以上</t>
    <phoneticPr fontId="1" type="noConversion"/>
  </si>
  <si>
    <t>單位：旅次；分鐘；%</t>
    <phoneticPr fontId="1" type="noConversion"/>
  </si>
  <si>
    <t>10
分鐘內</t>
    <phoneticPr fontId="1" type="noConversion"/>
  </si>
  <si>
    <t>10-20
分鐘</t>
    <phoneticPr fontId="1" type="noConversion"/>
  </si>
  <si>
    <t>20-30
分鐘</t>
    <phoneticPr fontId="1" type="noConversion"/>
  </si>
  <si>
    <t>30-40
分鐘</t>
    <phoneticPr fontId="1" type="noConversion"/>
  </si>
  <si>
    <t>50-60
分鐘</t>
    <phoneticPr fontId="1" type="noConversion"/>
  </si>
  <si>
    <t>1次</t>
  </si>
  <si>
    <t>2次</t>
  </si>
  <si>
    <t>3次</t>
  </si>
  <si>
    <t>5次</t>
    <phoneticPr fontId="1" type="noConversion"/>
  </si>
  <si>
    <t>6次</t>
  </si>
  <si>
    <t>7次及
以上</t>
    <phoneticPr fontId="1" type="noConversion"/>
  </si>
  <si>
    <t>1種</t>
  </si>
  <si>
    <t>2種</t>
  </si>
  <si>
    <t>3種</t>
  </si>
  <si>
    <t>4種</t>
  </si>
  <si>
    <t>5種</t>
    <phoneticPr fontId="1" type="noConversion"/>
  </si>
  <si>
    <t>6種</t>
  </si>
  <si>
    <t>E.其他</t>
    <phoneticPr fontId="1" type="noConversion"/>
  </si>
  <si>
    <t>單位：%</t>
    <phoneticPr fontId="1" type="noConversion"/>
  </si>
  <si>
    <t>19時-未滿22時</t>
  </si>
  <si>
    <t>22時以後</t>
  </si>
  <si>
    <t>單位：運具次數；%</t>
    <phoneticPr fontId="1" type="noConversion"/>
  </si>
  <si>
    <t>19時-未滿22時</t>
    <phoneticPr fontId="2" type="noConversion"/>
  </si>
  <si>
    <t>22時以後</t>
    <phoneticPr fontId="2" type="noConversion"/>
  </si>
  <si>
    <t>7時以前</t>
  </si>
  <si>
    <t>7時-未滿9時</t>
  </si>
  <si>
    <t>17時-未滿19時</t>
  </si>
  <si>
    <t>通勤學民眾運具次數市占率–按各運具分(續完)</t>
    <phoneticPr fontId="1" type="noConversion"/>
  </si>
  <si>
    <t xml:space="preserve">為昨天有外出民眾，以運具次數角度做分析。 </t>
  </si>
  <si>
    <t>102年度</t>
    <phoneticPr fontId="1" type="noConversion"/>
  </si>
  <si>
    <t>單位：旅次；%</t>
    <phoneticPr fontId="1" type="noConversion"/>
  </si>
  <si>
    <t>單位：人；%</t>
  </si>
  <si>
    <r>
      <t>2次</t>
    </r>
    <r>
      <rPr>
        <sz val="10"/>
        <rFont val="新細明體"/>
        <family val="1"/>
        <charset val="136"/>
      </rPr>
      <t/>
    </r>
  </si>
  <si>
    <r>
      <t>3次</t>
    </r>
    <r>
      <rPr>
        <sz val="10"/>
        <rFont val="新細明體"/>
        <family val="1"/>
        <charset val="136"/>
      </rPr>
      <t/>
    </r>
  </si>
  <si>
    <r>
      <t>4次</t>
    </r>
    <r>
      <rPr>
        <sz val="10"/>
        <rFont val="新細明體"/>
        <family val="1"/>
        <charset val="136"/>
      </rPr>
      <t/>
    </r>
  </si>
  <si>
    <r>
      <t>5次</t>
    </r>
    <r>
      <rPr>
        <sz val="10"/>
        <rFont val="新細明體"/>
        <family val="1"/>
        <charset val="136"/>
      </rPr>
      <t/>
    </r>
  </si>
  <si>
    <r>
      <t>6次</t>
    </r>
    <r>
      <rPr>
        <sz val="10"/>
        <rFont val="新細明體"/>
        <family val="1"/>
        <charset val="136"/>
      </rPr>
      <t/>
    </r>
  </si>
  <si>
    <t>單位：旅次；%</t>
    <phoneticPr fontId="2" type="noConversion"/>
  </si>
  <si>
    <t>公共
運輸</t>
  </si>
  <si>
    <t>其他私人機動運具</t>
  </si>
  <si>
    <t>調查對象為昨天有外出民眾，以旅次主運具角度做分析。</t>
  </si>
  <si>
    <t xml:space="preserve">  調查對象為昨天有外出民眾，以旅次主運具角度做分析。</t>
  </si>
  <si>
    <t>調查對象為昨天外出目的為通勤學民眾，以旅次主運具角度做分析。</t>
  </si>
  <si>
    <t xml:space="preserve">   調查對象為昨天外出目的為通勤學民眾，以旅次主運具角度做分析。</t>
  </si>
  <si>
    <t>跨縣市</t>
  </si>
  <si>
    <t>外出民眾運具次數市占率─按各運具分</t>
    <phoneticPr fontId="1" type="noConversion"/>
  </si>
  <si>
    <t>外出民眾運具次數市占率─按各運具分(續完)</t>
    <phoneticPr fontId="1" type="noConversion"/>
  </si>
  <si>
    <t>外出民眾主運具市占率─按各運具分</t>
    <phoneticPr fontId="1" type="noConversion"/>
  </si>
  <si>
    <t>調查對象</t>
  </si>
  <si>
    <t xml:space="preserve">為昨天有外出民眾，以旅次主運具角度做分析。 </t>
  </si>
  <si>
    <t>通勤學民眾主運具市占率─按各運具分</t>
    <phoneticPr fontId="1" type="noConversion"/>
  </si>
  <si>
    <t xml:space="preserve">  調查對象為</t>
    <phoneticPr fontId="1" type="noConversion"/>
  </si>
  <si>
    <t>昨天外出目的為通勤學民眾，以旅次主運具角度做分析。</t>
  </si>
  <si>
    <t>109年度</t>
  </si>
  <si>
    <t>111年度</t>
  </si>
  <si>
    <t>111年度</t>
    <phoneticPr fontId="1" type="noConversion"/>
  </si>
  <si>
    <t>111年度</t>
    <phoneticPr fontId="2" type="noConversion"/>
  </si>
  <si>
    <t>其他私人機動運具</t>
    <phoneticPr fontId="1" type="noConversion"/>
  </si>
  <si>
    <t>微型電動二輪車</t>
    <phoneticPr fontId="1" type="noConversion"/>
  </si>
  <si>
    <t>樣本數</t>
    <phoneticPr fontId="1" type="noConversion"/>
  </si>
  <si>
    <t>全體
民眾</t>
    <phoneticPr fontId="1" type="noConversion"/>
  </si>
  <si>
    <t>外出
民眾</t>
    <phoneticPr fontId="1" type="noConversion"/>
  </si>
  <si>
    <t>附表22　外出民眾平均每一旅次花費時間</t>
  </si>
  <si>
    <t>附表23　通勤學民眾平均每一旅次花費時間</t>
  </si>
  <si>
    <t>附表21　民眾全天使用各種運具次數</t>
    <phoneticPr fontId="1" type="noConversion"/>
  </si>
  <si>
    <r>
      <t>學生</t>
    </r>
    <r>
      <rPr>
        <sz val="7"/>
        <rFont val="微軟正黑體"/>
        <family val="2"/>
        <charset val="136"/>
      </rPr>
      <t>(部分工時就業)</t>
    </r>
    <phoneticPr fontId="1" type="noConversion"/>
  </si>
  <si>
    <t>113年度</t>
    <phoneticPr fontId="1" type="noConversion"/>
  </si>
  <si>
    <t>113年度</t>
    <phoneticPr fontId="2" type="noConversion"/>
  </si>
  <si>
    <t>15-未滿18歲</t>
    <phoneticPr fontId="1" type="noConversion"/>
  </si>
  <si>
    <t>調查對象為15歲以上民眾，以人的角度做分析。</t>
  </si>
  <si>
    <t>男</t>
    <phoneticPr fontId="1" type="noConversion"/>
  </si>
  <si>
    <t>男</t>
    <phoneticPr fontId="1" type="noConversion"/>
  </si>
  <si>
    <t>批發及零售業</t>
  </si>
  <si>
    <t>住宿及餐飲業</t>
    <phoneticPr fontId="1" type="noConversion"/>
  </si>
  <si>
    <r>
      <t>9</t>
    </r>
    <r>
      <rPr>
        <sz val="10"/>
        <rFont val="Microsoft JhengHei UI"/>
        <family val="2"/>
        <charset val="136"/>
      </rPr>
      <t>時</t>
    </r>
    <r>
      <rPr>
        <sz val="10"/>
        <rFont val="微軟正黑體"/>
        <family val="2"/>
        <charset val="136"/>
      </rPr>
      <t>-未滿11時</t>
    </r>
    <phoneticPr fontId="1" type="noConversion"/>
  </si>
  <si>
    <t>11時-未滿13時</t>
  </si>
  <si>
    <t>11時-未滿13時</t>
    <phoneticPr fontId="1" type="noConversion"/>
  </si>
  <si>
    <t>13時-未滿15時</t>
  </si>
  <si>
    <t>13時-未滿15時</t>
    <phoneticPr fontId="1" type="noConversion"/>
  </si>
  <si>
    <t>15時-未滿17時</t>
    <phoneticPr fontId="1" type="noConversion"/>
  </si>
  <si>
    <t>9時-未滿11時</t>
  </si>
  <si>
    <t>15時-未滿17時</t>
    <phoneticPr fontId="1" type="noConversion"/>
  </si>
  <si>
    <t>9時-未滿11時</t>
    <phoneticPr fontId="1" type="noConversion"/>
  </si>
  <si>
    <t>15時-未滿17時</t>
  </si>
  <si>
    <t>汽車客運</t>
  </si>
  <si>
    <t>計程車</t>
  </si>
  <si>
    <t>其他公共運輸</t>
  </si>
  <si>
    <t>自行車</t>
  </si>
  <si>
    <t>微型電動二輪車</t>
  </si>
  <si>
    <t>計程車</t>
    <phoneticPr fontId="1" type="noConversion"/>
  </si>
  <si>
    <t>汽車
客運</t>
    <phoneticPr fontId="1" type="noConversion"/>
  </si>
  <si>
    <t>其他公共運輸</t>
    <phoneticPr fontId="1" type="noConversion"/>
  </si>
  <si>
    <t>自行車</t>
    <phoneticPr fontId="1" type="noConversion"/>
  </si>
  <si>
    <t>是否為直轄市</t>
  </si>
  <si>
    <t>直轄市</t>
  </si>
  <si>
    <t>非直轄市</t>
  </si>
  <si>
    <t>附表20　外出民眾全天使用運具種類數</t>
    <phoneticPr fontId="1" type="noConversion"/>
  </si>
  <si>
    <t>C.外出民眾運具次數市占率</t>
    <phoneticPr fontId="1" type="noConversion"/>
  </si>
  <si>
    <t>Ｃ.外出民眾運具次數市占率</t>
    <phoneticPr fontId="1" type="noConversion"/>
  </si>
  <si>
    <t>D.外出民眾主運具市占率</t>
    <phoneticPr fontId="1" type="noConversion"/>
  </si>
  <si>
    <t>A.民眾外出旅次概況</t>
    <phoneticPr fontId="1" type="noConversion"/>
  </si>
  <si>
    <t>B. 民眾通勤學概況與地點關係</t>
    <phoneticPr fontId="1" type="noConversion"/>
  </si>
  <si>
    <t>附表8　外出民眾運具次數市占率─按運具類別分</t>
    <phoneticPr fontId="1" type="noConversion"/>
  </si>
  <si>
    <t>附表9　外出民眾運具次數市占率─按性別分</t>
    <phoneticPr fontId="1" type="noConversion"/>
  </si>
  <si>
    <t>附表10　外出民眾運具次數之公共運輸市占率─按縣市別分</t>
    <phoneticPr fontId="1" type="noConversion"/>
  </si>
  <si>
    <t>附表11　外出民眾運具次數市占率─按各運具分</t>
    <phoneticPr fontId="1" type="noConversion"/>
  </si>
  <si>
    <t>附表12　通勤學民眾運具次數市占率─按各運具分</t>
    <phoneticPr fontId="1" type="noConversion"/>
  </si>
  <si>
    <t>附表13　通勤學民眾運具次數之公共運輸市占率─按縣市別分</t>
    <phoneticPr fontId="1" type="noConversion"/>
  </si>
  <si>
    <t>附表14　外出民眾主運具市占率─按運具類別分</t>
    <phoneticPr fontId="1" type="noConversion"/>
  </si>
  <si>
    <t>附表15　外出民眾主運具市占率─按性別分</t>
    <phoneticPr fontId="1" type="noConversion"/>
  </si>
  <si>
    <t>附表16　外出民眾主運具之公共運輸市占率─按縣市別分</t>
    <phoneticPr fontId="1" type="noConversion"/>
  </si>
  <si>
    <t>附表17　外出民眾主運具市占率─按各運具分</t>
    <phoneticPr fontId="1" type="noConversion"/>
  </si>
  <si>
    <t>附表18　通勤學民眾主運具市占率─按各運具分</t>
    <phoneticPr fontId="1" type="noConversion"/>
  </si>
  <si>
    <t>附表19　通勤學民眾主運具之公共運輸市占率─按縣市別分</t>
    <phoneticPr fontId="1" type="noConversion"/>
  </si>
  <si>
    <t>附表1　民眾外出比率</t>
    <phoneticPr fontId="1" type="noConversion"/>
  </si>
  <si>
    <t>附表2　外出民眾旅次目的占比</t>
    <phoneticPr fontId="1" type="noConversion"/>
  </si>
  <si>
    <t>附表3　民眾旅次次數分配</t>
    <phoneticPr fontId="1" type="noConversion"/>
  </si>
  <si>
    <t>附表4　外出民眾旅次地點關係</t>
    <phoneticPr fontId="1" type="noConversion"/>
  </si>
  <si>
    <t>附表5　目前通勤或通學概況</t>
    <phoneticPr fontId="1" type="noConversion"/>
  </si>
  <si>
    <t>附表6　通勤地點與住家地點關係</t>
    <phoneticPr fontId="1" type="noConversion"/>
  </si>
  <si>
    <t>附表7　通學地點與住家地點關係</t>
    <phoneticPr fontId="1" type="noConversion"/>
  </si>
  <si>
    <t>附表3　 民眾旅次次數分配</t>
    <phoneticPr fontId="1" type="noConversion"/>
  </si>
  <si>
    <t xml:space="preserve">    附表10　外出民眾運具次數之公共運輸市占率─按縣市別分</t>
    <phoneticPr fontId="1" type="noConversion"/>
  </si>
  <si>
    <t>附表10　外出民眾運具次數之公共運輸市占率─按縣市別分(續)</t>
    <phoneticPr fontId="1" type="noConversion"/>
  </si>
  <si>
    <t>附表11　</t>
    <phoneticPr fontId="1" type="noConversion"/>
  </si>
  <si>
    <t>通勤學民眾運具次數市占率─按各運具分</t>
    <phoneticPr fontId="1" type="noConversion"/>
  </si>
  <si>
    <t xml:space="preserve">    </t>
    <phoneticPr fontId="1" type="noConversion"/>
  </si>
  <si>
    <t>附表12　</t>
  </si>
  <si>
    <t>為昨天外出目的為通勤學民眾，以運具次數角度做分析。</t>
    <phoneticPr fontId="1" type="noConversion"/>
  </si>
  <si>
    <t xml:space="preserve">  </t>
    <phoneticPr fontId="1" type="noConversion"/>
  </si>
  <si>
    <t>調查對象</t>
    <phoneticPr fontId="1" type="noConversion"/>
  </si>
  <si>
    <t>附表13　通勤學民眾運具次數之公共運輸市占率─按縣市別分(續)</t>
    <phoneticPr fontId="1" type="noConversion"/>
  </si>
  <si>
    <r>
      <t>　　　附表13　通勤學民眾運具次數之公共運輸市占率</t>
    </r>
    <r>
      <rPr>
        <b/>
        <sz val="12"/>
        <color rgb="FF000000"/>
        <rFont val="微軟正黑體"/>
        <family val="3"/>
        <charset val="136"/>
      </rPr>
      <t>─</t>
    </r>
    <r>
      <rPr>
        <b/>
        <sz val="12"/>
        <color indexed="8"/>
        <rFont val="微軟正黑體"/>
        <family val="2"/>
        <charset val="136"/>
      </rPr>
      <t>按縣市別分</t>
    </r>
    <phoneticPr fontId="1" type="noConversion"/>
  </si>
  <si>
    <t>附表14　外出民眾主運具市占率─按運具類別分</t>
    <phoneticPr fontId="1" type="noConversion"/>
  </si>
  <si>
    <t xml:space="preserve">  附表16　外出民眾主運具之公共運輸市占率─按縣市別分(續)</t>
    <phoneticPr fontId="1" type="noConversion"/>
  </si>
  <si>
    <t xml:space="preserve">附表17　 </t>
    <phoneticPr fontId="1" type="noConversion"/>
  </si>
  <si>
    <t xml:space="preserve">附表18　  </t>
    <phoneticPr fontId="1" type="noConversion"/>
  </si>
  <si>
    <t xml:space="preserve">   附表19　通勤學民眾主運具之公共運輸市占率─按縣市別分</t>
    <phoneticPr fontId="1" type="noConversion"/>
  </si>
  <si>
    <r>
      <t>附表19　通勤學民眾主運具之公共運輸市占率</t>
    </r>
    <r>
      <rPr>
        <b/>
        <sz val="12"/>
        <color rgb="FF000000"/>
        <rFont val="微軟正黑體"/>
        <family val="3"/>
        <charset val="136"/>
      </rPr>
      <t>─</t>
    </r>
    <r>
      <rPr>
        <b/>
        <sz val="12"/>
        <color indexed="8"/>
        <rFont val="微軟正黑體"/>
        <family val="2"/>
        <charset val="136"/>
      </rPr>
      <t>按縣市別分(續)</t>
    </r>
    <phoneticPr fontId="1" type="noConversion"/>
  </si>
  <si>
    <t>外出民眾主運具市占率─按各運具分(續)</t>
    <phoneticPr fontId="1" type="noConversion"/>
  </si>
  <si>
    <t>通勤學民眾主運具市占率─按各運具分(續)</t>
    <phoneticPr fontId="1" type="noConversion"/>
  </si>
  <si>
    <t>《平日市話及手機》</t>
  </si>
  <si>
    <t xml:space="preserve">              《平日市話及手機》</t>
  </si>
  <si>
    <t xml:space="preserve">     《平日市話及手機》</t>
  </si>
  <si>
    <t>113年民眾日常使用運具狀況調查</t>
    <phoneticPr fontId="1" type="noConversion"/>
  </si>
  <si>
    <t>—平常日市話及手機調查—</t>
  </si>
  <si>
    <t>統計表</t>
  </si>
  <si>
    <t>說明：</t>
  </si>
  <si>
    <t>1.本調查以全國22縣市市內電話及行動電話用戶為調查範圍。</t>
    <phoneticPr fontId="1" type="noConversion"/>
  </si>
  <si>
    <t xml:space="preserve">   (105年以前僅調查市內電話用戶；98年調查未含金馬地區)</t>
  </si>
  <si>
    <t>2.本報告之計算不含500公尺以下短行程。</t>
  </si>
  <si>
    <r>
      <t>3.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統計表中關聯性分析採「卡方檢定」(Chi-squareTest)。</t>
    </r>
  </si>
  <si>
    <r>
      <t>4.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＊表示p＜0.05，即在95%的信心水準下，基本問題與題目問項有顯著相關。</t>
    </r>
  </si>
  <si>
    <t xml:space="preserve">   ＊＊表示p＜0.01，即在99%的信心水準下，基本問題與題目問項有顯著相關。</t>
  </si>
  <si>
    <t xml:space="preserve">   ＊＊＊表示p＜0.001，即在99.9%的信心水準下，基本問題與題目問項有顯著相關。</t>
  </si>
  <si>
    <r>
      <t>5.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# 表示細格期望值小於5的比例超過20%，卡方檢定結果僅作參考。</t>
    </r>
  </si>
  <si>
    <r>
      <t>6.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各題答案如有未表態情形(如不知道、不確定、拒答)，不納入檢定。</t>
    </r>
  </si>
  <si>
    <r>
      <t>7.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複選題型未進行卡方檢定。</t>
    </r>
  </si>
  <si>
    <r>
      <t>8.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交叉表所列之數值為修正選項後之檢定值，不過，表中仍維持原變數選項分類。</t>
    </r>
  </si>
  <si>
    <r>
      <t>9.</t>
    </r>
    <r>
      <rPr>
        <sz val="7"/>
        <color rgb="FF000000"/>
        <rFont val="新細明體"/>
        <family val="1"/>
        <charset val="136"/>
      </rPr>
      <t xml:space="preserve">  </t>
    </r>
    <r>
      <rPr>
        <sz val="11"/>
        <color rgb="FF000000"/>
        <rFont val="新細明體"/>
        <family val="1"/>
        <charset val="136"/>
      </rPr>
      <t>單選題橫列百分比加總應等於100%，惟因四捨五入的關係容有差異。</t>
    </r>
  </si>
  <si>
    <t>10.統計表中樣本數為加權後的樣本數。</t>
  </si>
  <si>
    <t>13.統計表中運具別說明：</t>
    <phoneticPr fontId="1" type="noConversion"/>
  </si>
  <si>
    <t xml:space="preserve"> 捷運：包含捷運及輕軌。</t>
  </si>
  <si>
    <t xml:space="preserve">  復康巴士及交通車。</t>
    <phoneticPr fontId="1" type="noConversion"/>
  </si>
  <si>
    <t xml:space="preserve"> 計程車：包含一般計程車及多元化計程車。</t>
    <phoneticPr fontId="1" type="noConversion"/>
  </si>
  <si>
    <t xml:space="preserve"> 其他公共運輸：包含飛機及渡輪。</t>
  </si>
  <si>
    <t xml:space="preserve"> 自行車：包含公共自行車及其他自行車。</t>
  </si>
  <si>
    <t xml:space="preserve"> 微型電動二輪車：原「電動自行車」，109年(含)前計入「自行車」，</t>
    <phoneticPr fontId="1" type="noConversion"/>
  </si>
  <si>
    <t xml:space="preserve">                  自111年起更名並單獨列計。</t>
    <phoneticPr fontId="1" type="noConversion"/>
  </si>
  <si>
    <t xml:space="preserve"> 機車：包含機車及共享機車。</t>
  </si>
  <si>
    <t xml:space="preserve"> 自用小客車：包含自用小客車及共享汽車。</t>
  </si>
  <si>
    <t xml:space="preserve"> 其他私人機動運具：包含自用大客車、自用小貨車及自用大貨車。</t>
  </si>
  <si>
    <t>樣本數</t>
    <phoneticPr fontId="1" type="noConversion"/>
  </si>
  <si>
    <t>樣本數</t>
    <phoneticPr fontId="1" type="noConversion"/>
  </si>
  <si>
    <t>男性</t>
    <phoneticPr fontId="1" type="noConversion"/>
  </si>
  <si>
    <t>女性</t>
    <phoneticPr fontId="1" type="noConversion"/>
  </si>
  <si>
    <t xml:space="preserve"> 汽車客運：包含國道客運、一般公路客運、遊覽車、市區公車、免費公車、</t>
    <phoneticPr fontId="1" type="noConversion"/>
  </si>
  <si>
    <t>目          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</si>
</sst>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?_-;_-@_-"/>
    <numFmt numFmtId="178" formatCode="0.0_);[Red]\(0.0\)"/>
    <numFmt numFmtId="180" formatCode="0.00_);[Red]\(0.00\)"/>
    <numFmt numFmtId="181" formatCode="#,##0.0_ "/>
    <numFmt numFmtId="182" formatCode="#,##0_ "/>
    <numFmt numFmtId="183" formatCode="#,##0_);[Red]\(#,##0\)"/>
    <numFmt numFmtId="184" formatCode="_(* #,##0.00_);_(* \(#,##0.00\);_(* &quot;-&quot;??_);_(@_)"/>
    <numFmt numFmtId="185" formatCode="_(* #,##0.0_);_(* \(#,##0.0\);_(* &quot;-&quot;??_);_(@_)"/>
    <numFmt numFmtId="186" formatCode="_(* #,##0_);_(* \(#,##0\);_(* &quot;-&quot;??_);_(@_)"/>
  </numFmts>
  <fonts count="39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0"/>
      <name val="Arial"/>
      <family val="2"/>
    </font>
    <font>
      <sz val="10"/>
      <name val="新細明體"/>
      <family val="1"/>
      <charset val="136"/>
    </font>
    <font>
      <b/>
      <sz val="12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30"/>
      <name val="微軟正黑體"/>
      <family val="2"/>
      <charset val="136"/>
    </font>
    <font>
      <b/>
      <sz val="8"/>
      <name val="微軟正黑體"/>
      <family val="2"/>
      <charset val="136"/>
    </font>
    <font>
      <sz val="7"/>
      <name val="微軟正黑體"/>
      <family val="2"/>
      <charset val="136"/>
    </font>
    <font>
      <b/>
      <sz val="9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theme="0"/>
      <name val="微軟正黑體"/>
      <family val="2"/>
      <charset val="136"/>
    </font>
    <font>
      <b/>
      <sz val="30"/>
      <color rgb="FF00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0"/>
      <name val="Microsoft JhengHei UI"/>
      <family val="2"/>
      <charset val="136"/>
    </font>
    <font>
      <b/>
      <sz val="12"/>
      <color rgb="FF000000"/>
      <name val="微軟正黑體"/>
      <family val="3"/>
      <charset val="136"/>
    </font>
    <font>
      <sz val="12"/>
      <color rgb="FF000000"/>
      <name val="新細明體"/>
      <family val="1"/>
      <charset val="136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b/>
      <sz val="26"/>
      <color rgb="FF000000"/>
      <name val="新細明體"/>
      <family val="1"/>
      <charset val="136"/>
    </font>
    <font>
      <b/>
      <sz val="24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b/>
      <sz val="28"/>
      <color rgb="FF000000"/>
      <name val="新細明體"/>
      <family val="1"/>
      <charset val="136"/>
    </font>
    <font>
      <sz val="7"/>
      <color rgb="FF000000"/>
      <name val="新細明體"/>
      <family val="1"/>
      <charset val="136"/>
    </font>
    <font>
      <b/>
      <sz val="2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7">
    <xf numFmtId="0" fontId="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4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>
      <alignment vertical="center"/>
    </xf>
    <xf numFmtId="184" fontId="3" fillId="0" borderId="0" applyFont="0" applyFill="0" applyBorder="0" applyAlignment="0" applyProtection="0"/>
  </cellStyleXfs>
  <cellXfs count="302">
    <xf numFmtId="0" fontId="0" fillId="0" borderId="0" xfId="0">
      <alignment vertical="center"/>
    </xf>
    <xf numFmtId="185" fontId="6" fillId="0" borderId="7" xfId="37" applyNumberFormat="1" applyFont="1" applyFill="1" applyBorder="1" applyAlignment="1">
      <alignment horizontal="right" vertical="center"/>
    </xf>
    <xf numFmtId="186" fontId="6" fillId="0" borderId="7" xfId="37" applyNumberFormat="1" applyFont="1" applyFill="1" applyBorder="1" applyAlignment="1">
      <alignment horizontal="right" vertical="center"/>
    </xf>
    <xf numFmtId="186" fontId="6" fillId="0" borderId="8" xfId="37" applyNumberFormat="1" applyFont="1" applyFill="1" applyBorder="1" applyAlignment="1">
      <alignment horizontal="right" vertical="center"/>
    </xf>
    <xf numFmtId="184" fontId="6" fillId="0" borderId="0" xfId="37" applyFont="1" applyFill="1" applyBorder="1" applyAlignment="1">
      <alignment horizontal="center" vertical="center"/>
    </xf>
    <xf numFmtId="185" fontId="6" fillId="0" borderId="7" xfId="37" applyNumberFormat="1" applyFont="1" applyFill="1" applyBorder="1" applyAlignment="1">
      <alignment horizontal="right" vertical="center" shrinkToFit="1"/>
    </xf>
    <xf numFmtId="185" fontId="6" fillId="0" borderId="6" xfId="37" applyNumberFormat="1" applyFont="1" applyFill="1" applyBorder="1" applyAlignment="1">
      <alignment horizontal="right" vertical="center" shrinkToFit="1"/>
    </xf>
    <xf numFmtId="185" fontId="7" fillId="0" borderId="0" xfId="37" applyNumberFormat="1" applyFont="1" applyFill="1" applyBorder="1" applyAlignment="1">
      <alignment horizontal="right" vertical="center" shrinkToFit="1"/>
    </xf>
    <xf numFmtId="185" fontId="6" fillId="0" borderId="0" xfId="37" applyNumberFormat="1" applyFont="1" applyFill="1" applyBorder="1" applyAlignment="1">
      <alignment horizontal="right" vertical="center" shrinkToFit="1"/>
    </xf>
    <xf numFmtId="184" fontId="6" fillId="0" borderId="7" xfId="37" applyFont="1" applyFill="1" applyBorder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9" fillId="0" borderId="0" xfId="0" applyFont="1">
      <alignment vertical="center"/>
    </xf>
    <xf numFmtId="0" fontId="18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4" fontId="6" fillId="0" borderId="6" xfId="0" applyNumberFormat="1" applyFont="1" applyBorder="1" applyAlignment="1">
      <alignment horizontal="center" vertical="center"/>
    </xf>
    <xf numFmtId="4" fontId="7" fillId="0" borderId="16" xfId="0" applyNumberFormat="1" applyFont="1" applyBorder="1">
      <alignment vertical="center"/>
    </xf>
    <xf numFmtId="4" fontId="6" fillId="0" borderId="16" xfId="0" applyNumberFormat="1" applyFont="1" applyBorder="1" applyAlignment="1">
      <alignment horizontal="left" vertical="center"/>
    </xf>
    <xf numFmtId="4" fontId="6" fillId="0" borderId="17" xfId="0" applyNumberFormat="1" applyFont="1" applyBorder="1" applyAlignment="1">
      <alignment horizontal="center" vertical="center"/>
    </xf>
    <xf numFmtId="3" fontId="7" fillId="0" borderId="0" xfId="0" applyNumberFormat="1" applyFont="1">
      <alignment vertical="center"/>
    </xf>
    <xf numFmtId="3" fontId="6" fillId="0" borderId="0" xfId="0" applyNumberFormat="1" applyFont="1" applyAlignment="1">
      <alignment horizontal="right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right" vertical="center"/>
    </xf>
    <xf numFmtId="4" fontId="7" fillId="0" borderId="0" xfId="0" applyNumberFormat="1" applyFont="1">
      <alignment vertical="center"/>
    </xf>
    <xf numFmtId="3" fontId="6" fillId="0" borderId="0" xfId="0" applyNumberFormat="1" applyFont="1" applyAlignment="1">
      <alignment horizontal="left" vertical="center"/>
    </xf>
    <xf numFmtId="4" fontId="7" fillId="0" borderId="5" xfId="0" applyNumberFormat="1" applyFont="1" applyBorder="1">
      <alignment vertical="center"/>
    </xf>
    <xf numFmtId="3" fontId="6" fillId="0" borderId="5" xfId="0" applyNumberFormat="1" applyFont="1" applyBorder="1" applyAlignment="1">
      <alignment horizontal="left" vertical="center"/>
    </xf>
    <xf numFmtId="3" fontId="6" fillId="0" borderId="9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right" vertical="center" shrinkToFit="1"/>
    </xf>
    <xf numFmtId="177" fontId="10" fillId="0" borderId="5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176" fontId="15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 shrinkToFit="1"/>
    </xf>
    <xf numFmtId="177" fontId="7" fillId="0" borderId="7" xfId="0" applyNumberFormat="1" applyFont="1" applyBorder="1" applyAlignment="1">
      <alignment horizontal="right" vertical="center" shrinkToFit="1"/>
    </xf>
    <xf numFmtId="177" fontId="7" fillId="0" borderId="0" xfId="0" applyNumberFormat="1" applyFont="1" applyAlignment="1">
      <alignment horizontal="right" vertical="center" shrinkToFit="1"/>
    </xf>
    <xf numFmtId="3" fontId="6" fillId="0" borderId="7" xfId="0" applyNumberFormat="1" applyFont="1" applyBorder="1" applyAlignment="1">
      <alignment horizontal="right" vertical="center" shrinkToFit="1"/>
    </xf>
    <xf numFmtId="3" fontId="6" fillId="0" borderId="6" xfId="0" applyNumberFormat="1" applyFont="1" applyBorder="1" applyAlignment="1">
      <alignment horizontal="right" vertical="center" shrinkToFit="1"/>
    </xf>
    <xf numFmtId="177" fontId="6" fillId="0" borderId="7" xfId="0" applyNumberFormat="1" applyFont="1" applyBorder="1" applyAlignment="1">
      <alignment horizontal="right" vertical="center" shrinkToFit="1"/>
    </xf>
    <xf numFmtId="177" fontId="6" fillId="0" borderId="0" xfId="0" applyNumberFormat="1" applyFont="1" applyAlignment="1">
      <alignment horizontal="right" vertical="center" shrinkToFit="1"/>
    </xf>
    <xf numFmtId="4" fontId="7" fillId="0" borderId="12" xfId="0" applyNumberFormat="1" applyFont="1" applyBorder="1">
      <alignment vertical="center"/>
    </xf>
    <xf numFmtId="3" fontId="6" fillId="0" borderId="12" xfId="0" applyNumberFormat="1" applyFont="1" applyBorder="1" applyAlignment="1">
      <alignment horizontal="left" vertical="center"/>
    </xf>
    <xf numFmtId="3" fontId="6" fillId="0" borderId="15" xfId="0" applyNumberFormat="1" applyFont="1" applyBorder="1" applyAlignment="1">
      <alignment horizontal="right" vertical="center"/>
    </xf>
    <xf numFmtId="3" fontId="6" fillId="0" borderId="15" xfId="0" applyNumberFormat="1" applyFont="1" applyBorder="1" applyAlignment="1">
      <alignment horizontal="right" vertical="center" shrinkToFit="1"/>
    </xf>
    <xf numFmtId="177" fontId="6" fillId="0" borderId="13" xfId="0" applyNumberFormat="1" applyFont="1" applyBorder="1" applyAlignment="1">
      <alignment horizontal="right" vertical="center" shrinkToFit="1"/>
    </xf>
    <xf numFmtId="177" fontId="7" fillId="0" borderId="12" xfId="0" applyNumberFormat="1" applyFont="1" applyBorder="1" applyAlignment="1">
      <alignment horizontal="right" vertical="center" shrinkToFit="1"/>
    </xf>
    <xf numFmtId="177" fontId="6" fillId="0" borderId="12" xfId="0" applyNumberFormat="1" applyFont="1" applyBorder="1" applyAlignment="1">
      <alignment horizontal="right" vertical="center" shrinkToFit="1"/>
    </xf>
    <xf numFmtId="3" fontId="6" fillId="0" borderId="16" xfId="0" applyNumberFormat="1" applyFont="1" applyBorder="1" applyAlignment="1">
      <alignment horizontal="left" vertical="center"/>
    </xf>
    <xf numFmtId="177" fontId="6" fillId="0" borderId="16" xfId="0" applyNumberFormat="1" applyFont="1" applyBorder="1" applyAlignment="1">
      <alignment horizontal="right" vertical="center" shrinkToFit="1"/>
    </xf>
    <xf numFmtId="177" fontId="7" fillId="0" borderId="16" xfId="0" applyNumberFormat="1" applyFont="1" applyBorder="1" applyAlignment="1">
      <alignment horizontal="right" vertical="center" shrinkToFit="1"/>
    </xf>
    <xf numFmtId="0" fontId="6" fillId="0" borderId="16" xfId="0" applyFont="1" applyBorder="1">
      <alignment vertical="center"/>
    </xf>
    <xf numFmtId="183" fontId="14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4" fontId="6" fillId="0" borderId="17" xfId="0" applyNumberFormat="1" applyFont="1" applyBorder="1" applyAlignment="1">
      <alignment horizontal="right" vertical="center"/>
    </xf>
    <xf numFmtId="183" fontId="6" fillId="0" borderId="8" xfId="0" applyNumberFormat="1" applyFont="1" applyBorder="1" applyAlignment="1">
      <alignment horizontal="right" vertical="center"/>
    </xf>
    <xf numFmtId="183" fontId="6" fillId="0" borderId="17" xfId="0" applyNumberFormat="1" applyFont="1" applyBorder="1" applyAlignment="1">
      <alignment horizontal="right" vertical="center"/>
    </xf>
    <xf numFmtId="176" fontId="6" fillId="0" borderId="8" xfId="0" applyNumberFormat="1" applyFont="1" applyBorder="1" applyAlignment="1">
      <alignment horizontal="right" vertical="center"/>
    </xf>
    <xf numFmtId="176" fontId="6" fillId="0" borderId="16" xfId="0" applyNumberFormat="1" applyFont="1" applyBorder="1" applyAlignment="1">
      <alignment horizontal="right" vertical="center" wrapText="1"/>
    </xf>
    <xf numFmtId="3" fontId="6" fillId="0" borderId="9" xfId="0" applyNumberFormat="1" applyFont="1" applyBorder="1" applyAlignment="1">
      <alignment horizontal="right" vertical="center"/>
    </xf>
    <xf numFmtId="177" fontId="6" fillId="0" borderId="10" xfId="0" applyNumberFormat="1" applyFont="1" applyBorder="1" applyAlignment="1">
      <alignment horizontal="right" vertical="center" shrinkToFit="1"/>
    </xf>
    <xf numFmtId="177" fontId="6" fillId="0" borderId="5" xfId="0" applyNumberFormat="1" applyFont="1" applyBorder="1" applyAlignment="1">
      <alignment horizontal="right" vertical="center" shrinkToFit="1"/>
    </xf>
    <xf numFmtId="0" fontId="6" fillId="0" borderId="5" xfId="0" applyFont="1" applyBorder="1">
      <alignment vertical="center"/>
    </xf>
    <xf numFmtId="3" fontId="22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 indent="1"/>
    </xf>
    <xf numFmtId="183" fontId="15" fillId="0" borderId="0" xfId="0" applyNumberFormat="1" applyFont="1">
      <alignment vertical="center"/>
    </xf>
    <xf numFmtId="180" fontId="14" fillId="0" borderId="0" xfId="0" applyNumberFormat="1" applyFont="1" applyAlignment="1">
      <alignment horizontal="center" vertical="center"/>
    </xf>
    <xf numFmtId="180" fontId="6" fillId="0" borderId="16" xfId="0" applyNumberFormat="1" applyFont="1" applyBorder="1" applyAlignment="1">
      <alignment horizontal="center" vertical="center" wrapText="1"/>
    </xf>
    <xf numFmtId="180" fontId="1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6" fillId="0" borderId="11" xfId="0" applyFont="1" applyBorder="1">
      <alignment vertical="center"/>
    </xf>
    <xf numFmtId="3" fontId="6" fillId="0" borderId="9" xfId="0" applyNumberFormat="1" applyFont="1" applyBorder="1" applyAlignment="1">
      <alignment horizontal="right" vertical="center" shrinkToFit="1"/>
    </xf>
    <xf numFmtId="177" fontId="7" fillId="0" borderId="5" xfId="0" applyNumberFormat="1" applyFont="1" applyBorder="1" applyAlignment="1">
      <alignment horizontal="right" vertical="center" shrinkToFit="1"/>
    </xf>
    <xf numFmtId="0" fontId="23" fillId="0" borderId="0" xfId="0" applyFont="1" applyAlignment="1">
      <alignment horizontal="left" vertical="center"/>
    </xf>
    <xf numFmtId="183" fontId="7" fillId="0" borderId="7" xfId="0" applyNumberFormat="1" applyFont="1" applyBorder="1" applyAlignment="1">
      <alignment horizontal="right" vertical="center"/>
    </xf>
    <xf numFmtId="183" fontId="7" fillId="0" borderId="6" xfId="0" applyNumberFormat="1" applyFont="1" applyBorder="1" applyAlignment="1">
      <alignment horizontal="right" vertical="center"/>
    </xf>
    <xf numFmtId="180" fontId="7" fillId="0" borderId="0" xfId="0" applyNumberFormat="1" applyFont="1" applyAlignment="1">
      <alignment horizontal="center" vertical="center"/>
    </xf>
    <xf numFmtId="183" fontId="6" fillId="0" borderId="7" xfId="0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180" fontId="6" fillId="0" borderId="0" xfId="0" applyNumberFormat="1" applyFont="1" applyAlignment="1">
      <alignment horizontal="center" vertical="center"/>
    </xf>
    <xf numFmtId="183" fontId="6" fillId="0" borderId="9" xfId="0" applyNumberFormat="1" applyFont="1" applyBorder="1" applyAlignment="1">
      <alignment horizontal="right" vertical="center"/>
    </xf>
    <xf numFmtId="180" fontId="6" fillId="0" borderId="5" xfId="0" applyNumberFormat="1" applyFont="1" applyBorder="1" applyAlignment="1">
      <alignment horizontal="center" vertical="center"/>
    </xf>
    <xf numFmtId="183" fontId="6" fillId="0" borderId="13" xfId="0" applyNumberFormat="1" applyFont="1" applyBorder="1" applyAlignment="1">
      <alignment horizontal="right" vertical="center"/>
    </xf>
    <xf numFmtId="183" fontId="6" fillId="0" borderId="15" xfId="0" applyNumberFormat="1" applyFont="1" applyBorder="1" applyAlignment="1">
      <alignment horizontal="right" vertical="center"/>
    </xf>
    <xf numFmtId="180" fontId="6" fillId="0" borderId="12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right" vertical="center"/>
    </xf>
    <xf numFmtId="180" fontId="6" fillId="0" borderId="16" xfId="0" applyNumberFormat="1" applyFont="1" applyBorder="1" applyAlignment="1">
      <alignment horizontal="center" vertical="center"/>
    </xf>
    <xf numFmtId="177" fontId="6" fillId="0" borderId="8" xfId="0" applyNumberFormat="1" applyFont="1" applyBorder="1" applyAlignment="1">
      <alignment horizontal="right" vertical="center" shrinkToFit="1"/>
    </xf>
    <xf numFmtId="4" fontId="7" fillId="0" borderId="19" xfId="0" applyNumberFormat="1" applyFont="1" applyBorder="1">
      <alignment vertical="center"/>
    </xf>
    <xf numFmtId="4" fontId="6" fillId="0" borderId="19" xfId="0" applyNumberFormat="1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 vertical="center"/>
    </xf>
    <xf numFmtId="183" fontId="15" fillId="0" borderId="10" xfId="0" applyNumberFormat="1" applyFont="1" applyBorder="1" applyAlignment="1">
      <alignment horizontal="right" vertical="center"/>
    </xf>
    <xf numFmtId="183" fontId="15" fillId="0" borderId="9" xfId="0" applyNumberFormat="1" applyFont="1" applyBorder="1" applyAlignment="1">
      <alignment horizontal="right" vertical="center"/>
    </xf>
    <xf numFmtId="180" fontId="15" fillId="0" borderId="5" xfId="0" applyNumberFormat="1" applyFont="1" applyBorder="1" applyAlignment="1">
      <alignment horizontal="center" vertical="center"/>
    </xf>
    <xf numFmtId="178" fontId="15" fillId="0" borderId="10" xfId="0" applyNumberFormat="1" applyFont="1" applyBorder="1" applyAlignment="1">
      <alignment horizontal="right" vertical="center"/>
    </xf>
    <xf numFmtId="178" fontId="15" fillId="0" borderId="5" xfId="0" applyNumberFormat="1" applyFont="1" applyBorder="1" applyAlignment="1">
      <alignment horizontal="right" vertical="center"/>
    </xf>
    <xf numFmtId="183" fontId="7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180" fontId="7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4" fontId="6" fillId="0" borderId="5" xfId="0" applyNumberFormat="1" applyFont="1" applyBorder="1" applyAlignment="1">
      <alignment horizontal="left" vertical="center"/>
    </xf>
    <xf numFmtId="180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>
      <alignment vertical="center"/>
    </xf>
    <xf numFmtId="180" fontId="6" fillId="0" borderId="12" xfId="0" applyNumberFormat="1" applyFont="1" applyBorder="1" applyAlignment="1">
      <alignment horizontal="right" vertical="center" indent="1"/>
    </xf>
    <xf numFmtId="180" fontId="6" fillId="0" borderId="16" xfId="0" applyNumberFormat="1" applyFont="1" applyBorder="1" applyAlignment="1">
      <alignment horizontal="right" vertical="center" indent="1"/>
    </xf>
    <xf numFmtId="180" fontId="6" fillId="0" borderId="0" xfId="0" applyNumberFormat="1" applyFont="1" applyAlignment="1">
      <alignment horizontal="right" vertical="center" indent="1"/>
    </xf>
    <xf numFmtId="176" fontId="6" fillId="0" borderId="2" xfId="0" applyNumberFormat="1" applyFont="1" applyBorder="1" applyAlignment="1">
      <alignment horizontal="center" vertical="center" wrapText="1"/>
    </xf>
    <xf numFmtId="176" fontId="14" fillId="0" borderId="0" xfId="0" applyNumberFormat="1" applyFont="1" applyAlignment="1">
      <alignment horizontal="center" vertical="center"/>
    </xf>
    <xf numFmtId="176" fontId="6" fillId="0" borderId="16" xfId="0" applyNumberFormat="1" applyFont="1" applyBorder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176" fontId="6" fillId="0" borderId="7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 wrapText="1"/>
    </xf>
    <xf numFmtId="3" fontId="7" fillId="0" borderId="6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176" fontId="8" fillId="0" borderId="0" xfId="0" applyNumberFormat="1" applyFont="1">
      <alignment vertical="center"/>
    </xf>
    <xf numFmtId="3" fontId="6" fillId="0" borderId="17" xfId="0" applyNumberFormat="1" applyFont="1" applyBorder="1" applyAlignment="1">
      <alignment horizontal="right" vertical="center" shrinkToFit="1"/>
    </xf>
    <xf numFmtId="3" fontId="10" fillId="0" borderId="10" xfId="0" applyNumberFormat="1" applyFont="1" applyBorder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/>
    </xf>
    <xf numFmtId="178" fontId="16" fillId="0" borderId="5" xfId="0" applyNumberFormat="1" applyFont="1" applyBorder="1" applyAlignment="1">
      <alignment horizontal="right" vertical="center"/>
    </xf>
    <xf numFmtId="178" fontId="10" fillId="0" borderId="5" xfId="0" applyNumberFormat="1" applyFont="1" applyBorder="1" applyAlignment="1">
      <alignment horizontal="right" vertical="center"/>
    </xf>
    <xf numFmtId="0" fontId="10" fillId="0" borderId="5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6" fillId="0" borderId="36" xfId="0" applyFont="1" applyBorder="1">
      <alignment vertical="center"/>
    </xf>
    <xf numFmtId="3" fontId="7" fillId="0" borderId="3" xfId="0" applyNumberFormat="1" applyFont="1" applyBorder="1" applyAlignment="1">
      <alignment horizontal="right" vertical="center"/>
    </xf>
    <xf numFmtId="3" fontId="6" fillId="0" borderId="7" xfId="0" applyNumberFormat="1" applyFont="1" applyBorder="1" applyAlignment="1">
      <alignment horizontal="right" vertical="center"/>
    </xf>
    <xf numFmtId="3" fontId="6" fillId="0" borderId="22" xfId="0" applyNumberFormat="1" applyFont="1" applyBorder="1" applyAlignment="1">
      <alignment horizontal="right" vertical="center"/>
    </xf>
    <xf numFmtId="182" fontId="6" fillId="0" borderId="6" xfId="0" applyNumberFormat="1" applyFont="1" applyBorder="1" applyAlignment="1">
      <alignment horizontal="right" vertical="center" indent="2"/>
    </xf>
    <xf numFmtId="181" fontId="6" fillId="0" borderId="7" xfId="0" applyNumberFormat="1" applyFont="1" applyBorder="1" applyAlignment="1">
      <alignment horizontal="right" vertical="center" indent="2" shrinkToFit="1"/>
    </xf>
    <xf numFmtId="181" fontId="6" fillId="0" borderId="0" xfId="0" applyNumberFormat="1" applyFont="1" applyAlignment="1">
      <alignment horizontal="right" vertical="center" indent="2" shrinkToFit="1"/>
    </xf>
    <xf numFmtId="3" fontId="6" fillId="0" borderId="10" xfId="0" applyNumberFormat="1" applyFont="1" applyBorder="1" applyAlignment="1">
      <alignment horizontal="right" vertical="center"/>
    </xf>
    <xf numFmtId="3" fontId="6" fillId="0" borderId="23" xfId="0" applyNumberFormat="1" applyFont="1" applyBorder="1" applyAlignment="1">
      <alignment horizontal="right" vertical="center"/>
    </xf>
    <xf numFmtId="3" fontId="6" fillId="0" borderId="24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 indent="1"/>
    </xf>
    <xf numFmtId="178" fontId="10" fillId="0" borderId="10" xfId="0" applyNumberFormat="1" applyFont="1" applyBorder="1" applyAlignment="1">
      <alignment horizontal="right" vertical="center" indent="1"/>
    </xf>
    <xf numFmtId="178" fontId="10" fillId="0" borderId="5" xfId="0" applyNumberFormat="1" applyFont="1" applyBorder="1" applyAlignment="1">
      <alignment horizontal="right" vertical="center" indent="1"/>
    </xf>
    <xf numFmtId="3" fontId="10" fillId="0" borderId="23" xfId="0" applyNumberFormat="1" applyFont="1" applyBorder="1" applyAlignment="1">
      <alignment horizontal="right" vertical="center" indent="1"/>
    </xf>
    <xf numFmtId="3" fontId="7" fillId="0" borderId="6" xfId="0" applyNumberFormat="1" applyFont="1" applyBorder="1" applyAlignment="1">
      <alignment horizontal="right" vertical="center" indent="1"/>
    </xf>
    <xf numFmtId="3" fontId="6" fillId="0" borderId="6" xfId="0" applyNumberFormat="1" applyFont="1" applyBorder="1" applyAlignment="1">
      <alignment horizontal="right" vertical="center" indent="1"/>
    </xf>
    <xf numFmtId="3" fontId="6" fillId="0" borderId="9" xfId="0" applyNumberFormat="1" applyFont="1" applyBorder="1" applyAlignment="1">
      <alignment horizontal="right" vertical="center" indent="1"/>
    </xf>
    <xf numFmtId="3" fontId="6" fillId="0" borderId="15" xfId="0" applyNumberFormat="1" applyFont="1" applyBorder="1" applyAlignment="1">
      <alignment horizontal="right" vertical="center" indent="1"/>
    </xf>
    <xf numFmtId="3" fontId="6" fillId="0" borderId="17" xfId="0" applyNumberFormat="1" applyFont="1" applyBorder="1" applyAlignment="1">
      <alignment horizontal="right" vertical="center" indent="1"/>
    </xf>
    <xf numFmtId="0" fontId="23" fillId="0" borderId="0" xfId="0" applyFont="1" applyAlignment="1">
      <alignment horizontal="right" vertical="center"/>
    </xf>
    <xf numFmtId="185" fontId="7" fillId="0" borderId="0" xfId="37" applyNumberFormat="1" applyFont="1" applyFill="1" applyAlignment="1">
      <alignment horizontal="right" vertical="center" shrinkToFit="1"/>
    </xf>
    <xf numFmtId="185" fontId="6" fillId="0" borderId="0" xfId="37" applyNumberFormat="1" applyFont="1" applyFill="1" applyAlignment="1">
      <alignment horizontal="right" vertical="center" shrinkToFit="1"/>
    </xf>
    <xf numFmtId="176" fontId="6" fillId="0" borderId="1" xfId="0" applyNumberFormat="1" applyFont="1" applyBorder="1" applyAlignment="1">
      <alignment horizontal="center" vertical="center"/>
    </xf>
    <xf numFmtId="176" fontId="6" fillId="0" borderId="16" xfId="0" applyNumberFormat="1" applyFont="1" applyBorder="1" applyAlignment="1">
      <alignment horizontal="right" vertical="center"/>
    </xf>
    <xf numFmtId="177" fontId="17" fillId="0" borderId="0" xfId="0" applyNumberFormat="1" applyFont="1" applyAlignment="1">
      <alignment horizontal="right" vertical="center" shrinkToFit="1"/>
    </xf>
    <xf numFmtId="177" fontId="17" fillId="0" borderId="5" xfId="0" applyNumberFormat="1" applyFont="1" applyBorder="1" applyAlignment="1">
      <alignment horizontal="right" vertical="center" shrinkToFit="1"/>
    </xf>
    <xf numFmtId="3" fontId="6" fillId="0" borderId="20" xfId="0" applyNumberFormat="1" applyFont="1" applyBorder="1" applyAlignment="1">
      <alignment horizontal="center" vertical="center"/>
    </xf>
    <xf numFmtId="4" fontId="15" fillId="0" borderId="9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 indent="1"/>
    </xf>
    <xf numFmtId="177" fontId="7" fillId="0" borderId="0" xfId="0" applyNumberFormat="1" applyFont="1" applyAlignment="1">
      <alignment horizontal="right" vertical="center" indent="1"/>
    </xf>
    <xf numFmtId="177" fontId="6" fillId="0" borderId="7" xfId="0" applyNumberFormat="1" applyFont="1" applyBorder="1" applyAlignment="1">
      <alignment horizontal="right" vertical="center" indent="1"/>
    </xf>
    <xf numFmtId="177" fontId="6" fillId="0" borderId="0" xfId="0" applyNumberFormat="1" applyFont="1" applyAlignment="1">
      <alignment horizontal="right" vertical="center" indent="1"/>
    </xf>
    <xf numFmtId="41" fontId="6" fillId="0" borderId="6" xfId="0" applyNumberFormat="1" applyFont="1" applyBorder="1" applyAlignment="1">
      <alignment horizontal="right" vertical="center" shrinkToFit="1"/>
    </xf>
    <xf numFmtId="177" fontId="6" fillId="0" borderId="10" xfId="0" applyNumberFormat="1" applyFont="1" applyBorder="1" applyAlignment="1">
      <alignment horizontal="right" vertical="center" indent="1"/>
    </xf>
    <xf numFmtId="177" fontId="6" fillId="0" borderId="5" xfId="0" applyNumberFormat="1" applyFont="1" applyBorder="1" applyAlignment="1">
      <alignment horizontal="right" vertical="center" indent="1"/>
    </xf>
    <xf numFmtId="177" fontId="6" fillId="0" borderId="8" xfId="0" applyNumberFormat="1" applyFont="1" applyBorder="1" applyAlignment="1">
      <alignment horizontal="right" vertical="center" indent="1"/>
    </xf>
    <xf numFmtId="177" fontId="6" fillId="0" borderId="16" xfId="0" applyNumberFormat="1" applyFont="1" applyBorder="1" applyAlignment="1">
      <alignment horizontal="right" vertical="center" indent="1"/>
    </xf>
    <xf numFmtId="177" fontId="15" fillId="0" borderId="10" xfId="0" applyNumberFormat="1" applyFont="1" applyBorder="1" applyAlignment="1">
      <alignment horizontal="right" vertical="center"/>
    </xf>
    <xf numFmtId="177" fontId="15" fillId="0" borderId="5" xfId="0" applyNumberFormat="1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176" fontId="1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3" fontId="21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4" fontId="6" fillId="0" borderId="3" xfId="0" applyNumberFormat="1" applyFont="1" applyBorder="1" applyAlignment="1">
      <alignment horizontal="right" vertical="center"/>
    </xf>
    <xf numFmtId="43" fontId="7" fillId="0" borderId="0" xfId="0" applyNumberFormat="1" applyFont="1" applyAlignment="1">
      <alignment horizontal="right" vertical="center" shrinkToFit="1"/>
    </xf>
    <xf numFmtId="43" fontId="6" fillId="0" borderId="0" xfId="0" applyNumberFormat="1" applyFont="1" applyAlignment="1">
      <alignment horizontal="right" vertical="center" shrinkToFit="1"/>
    </xf>
    <xf numFmtId="43" fontId="6" fillId="0" borderId="5" xfId="0" applyNumberFormat="1" applyFont="1" applyBorder="1" applyAlignment="1">
      <alignment horizontal="right" vertical="center" shrinkToFit="1"/>
    </xf>
    <xf numFmtId="43" fontId="6" fillId="0" borderId="7" xfId="0" applyNumberFormat="1" applyFont="1" applyBorder="1" applyAlignment="1">
      <alignment horizontal="right" vertical="center" shrinkToFit="1"/>
    </xf>
    <xf numFmtId="43" fontId="6" fillId="0" borderId="6" xfId="0" applyNumberFormat="1" applyFont="1" applyBorder="1" applyAlignment="1">
      <alignment horizontal="right" vertical="center" shrinkToFit="1"/>
    </xf>
    <xf numFmtId="43" fontId="6" fillId="0" borderId="8" xfId="0" applyNumberFormat="1" applyFont="1" applyBorder="1" applyAlignment="1">
      <alignment horizontal="right" vertical="center" shrinkToFit="1"/>
    </xf>
    <xf numFmtId="43" fontId="6" fillId="0" borderId="17" xfId="0" applyNumberFormat="1" applyFont="1" applyBorder="1" applyAlignment="1">
      <alignment horizontal="right" vertical="center" shrinkToFit="1"/>
    </xf>
    <xf numFmtId="3" fontId="10" fillId="0" borderId="23" xfId="0" applyNumberFormat="1" applyFont="1" applyBorder="1" applyAlignment="1">
      <alignment horizontal="right" vertical="center"/>
    </xf>
    <xf numFmtId="43" fontId="10" fillId="0" borderId="10" xfId="0" applyNumberFormat="1" applyFont="1" applyBorder="1" applyAlignment="1">
      <alignment horizontal="right" vertical="center" shrinkToFit="1"/>
    </xf>
    <xf numFmtId="43" fontId="10" fillId="0" borderId="9" xfId="0" applyNumberFormat="1" applyFont="1" applyBorder="1" applyAlignment="1">
      <alignment horizontal="right" vertical="center" shrinkToFit="1"/>
    </xf>
    <xf numFmtId="182" fontId="7" fillId="0" borderId="6" xfId="0" applyNumberFormat="1" applyFont="1" applyBorder="1" applyAlignment="1">
      <alignment horizontal="right" vertical="center"/>
    </xf>
    <xf numFmtId="182" fontId="6" fillId="0" borderId="6" xfId="0" applyNumberFormat="1" applyFont="1" applyBorder="1" applyAlignment="1">
      <alignment horizontal="right" vertical="center"/>
    </xf>
    <xf numFmtId="182" fontId="6" fillId="0" borderId="9" xfId="0" applyNumberFormat="1" applyFont="1" applyBorder="1" applyAlignment="1">
      <alignment horizontal="right" vertical="center"/>
    </xf>
    <xf numFmtId="182" fontId="6" fillId="0" borderId="15" xfId="0" applyNumberFormat="1" applyFont="1" applyBorder="1" applyAlignment="1">
      <alignment horizontal="right" vertical="center"/>
    </xf>
    <xf numFmtId="182" fontId="6" fillId="0" borderId="17" xfId="0" applyNumberFormat="1" applyFont="1" applyBorder="1" applyAlignment="1">
      <alignment horizontal="right" vertical="center"/>
    </xf>
    <xf numFmtId="182" fontId="7" fillId="0" borderId="6" xfId="0" applyNumberFormat="1" applyFont="1" applyBorder="1" applyAlignment="1">
      <alignment horizontal="right" vertical="center" indent="2"/>
    </xf>
    <xf numFmtId="181" fontId="7" fillId="0" borderId="7" xfId="0" applyNumberFormat="1" applyFont="1" applyBorder="1" applyAlignment="1">
      <alignment horizontal="right" vertical="center" indent="2" shrinkToFit="1"/>
    </xf>
    <xf numFmtId="181" fontId="7" fillId="0" borderId="0" xfId="0" applyNumberFormat="1" applyFont="1" applyAlignment="1">
      <alignment horizontal="right" vertical="center" indent="2" shrinkToFit="1"/>
    </xf>
    <xf numFmtId="182" fontId="6" fillId="0" borderId="9" xfId="0" applyNumberFormat="1" applyFont="1" applyBorder="1" applyAlignment="1">
      <alignment horizontal="right" vertical="center" indent="2"/>
    </xf>
    <xf numFmtId="181" fontId="6" fillId="0" borderId="10" xfId="0" applyNumberFormat="1" applyFont="1" applyBorder="1" applyAlignment="1">
      <alignment horizontal="right" vertical="center" indent="2" shrinkToFit="1"/>
    </xf>
    <xf numFmtId="181" fontId="6" fillId="0" borderId="5" xfId="0" applyNumberFormat="1" applyFont="1" applyBorder="1" applyAlignment="1">
      <alignment horizontal="right" vertical="center" indent="2" shrinkToFit="1"/>
    </xf>
    <xf numFmtId="182" fontId="6" fillId="0" borderId="15" xfId="0" applyNumberFormat="1" applyFont="1" applyBorder="1" applyAlignment="1">
      <alignment horizontal="right" vertical="center" indent="2"/>
    </xf>
    <xf numFmtId="181" fontId="6" fillId="0" borderId="13" xfId="0" applyNumberFormat="1" applyFont="1" applyBorder="1" applyAlignment="1">
      <alignment horizontal="right" vertical="center" indent="2" shrinkToFit="1"/>
    </xf>
    <xf numFmtId="181" fontId="6" fillId="0" borderId="12" xfId="0" applyNumberFormat="1" applyFont="1" applyBorder="1" applyAlignment="1">
      <alignment horizontal="right" vertical="center" indent="2" shrinkToFit="1"/>
    </xf>
    <xf numFmtId="182" fontId="6" fillId="0" borderId="17" xfId="0" applyNumberFormat="1" applyFont="1" applyBorder="1" applyAlignment="1">
      <alignment horizontal="right" vertical="center" indent="2"/>
    </xf>
    <xf numFmtId="181" fontId="6" fillId="0" borderId="8" xfId="0" applyNumberFormat="1" applyFont="1" applyBorder="1" applyAlignment="1">
      <alignment horizontal="right" vertical="center" indent="2" shrinkToFit="1"/>
    </xf>
    <xf numFmtId="181" fontId="6" fillId="0" borderId="16" xfId="0" applyNumberFormat="1" applyFont="1" applyBorder="1" applyAlignment="1">
      <alignment horizontal="right" vertical="center" indent="2" shrinkToFit="1"/>
    </xf>
    <xf numFmtId="0" fontId="30" fillId="2" borderId="0" xfId="45" applyFont="1" applyFill="1">
      <alignment vertical="center"/>
    </xf>
    <xf numFmtId="0" fontId="31" fillId="2" borderId="0" xfId="45" applyFont="1" applyFill="1" applyAlignment="1">
      <alignment horizontal="left" vertical="center"/>
    </xf>
    <xf numFmtId="0" fontId="31" fillId="2" borderId="0" xfId="45" applyFont="1" applyFill="1" applyAlignment="1">
      <alignment horizontal="center" vertical="center"/>
    </xf>
    <xf numFmtId="0" fontId="32" fillId="2" borderId="0" xfId="45" applyFont="1" applyFill="1">
      <alignment vertical="center"/>
    </xf>
    <xf numFmtId="176" fontId="32" fillId="2" borderId="0" xfId="45" applyNumberFormat="1" applyFont="1" applyFill="1">
      <alignment vertical="center"/>
    </xf>
    <xf numFmtId="0" fontId="29" fillId="0" borderId="0" xfId="45">
      <alignment vertical="center"/>
    </xf>
    <xf numFmtId="0" fontId="35" fillId="2" borderId="0" xfId="45" applyFont="1" applyFill="1" applyAlignment="1">
      <alignment horizontal="left"/>
    </xf>
    <xf numFmtId="0" fontId="36" fillId="2" borderId="0" xfId="45" applyFont="1" applyFill="1" applyAlignment="1">
      <alignment horizontal="center" vertical="center"/>
    </xf>
    <xf numFmtId="0" fontId="35" fillId="2" borderId="0" xfId="45" applyFont="1" applyFill="1" applyAlignment="1">
      <alignment horizontal="left" vertical="center"/>
    </xf>
    <xf numFmtId="0" fontId="35" fillId="2" borderId="0" xfId="45" applyFont="1" applyFill="1" applyAlignment="1">
      <alignment horizontal="left" indent="1"/>
    </xf>
    <xf numFmtId="0" fontId="35" fillId="2" borderId="0" xfId="45" applyFont="1" applyFill="1" applyAlignment="1">
      <alignment horizontal="center"/>
    </xf>
    <xf numFmtId="0" fontId="30" fillId="0" borderId="0" xfId="45" applyFont="1">
      <alignment vertical="center"/>
    </xf>
    <xf numFmtId="0" fontId="31" fillId="0" borderId="0" xfId="45" applyFont="1" applyAlignment="1">
      <alignment horizontal="left" vertical="center"/>
    </xf>
    <xf numFmtId="0" fontId="31" fillId="0" borderId="0" xfId="45" applyFont="1" applyAlignment="1">
      <alignment horizontal="center" vertical="center"/>
    </xf>
    <xf numFmtId="0" fontId="32" fillId="0" borderId="0" xfId="45" applyFont="1">
      <alignment vertical="center"/>
    </xf>
    <xf numFmtId="176" fontId="32" fillId="0" borderId="0" xfId="45" applyNumberFormat="1" applyFont="1">
      <alignment vertical="center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3" fillId="2" borderId="0" xfId="45" applyFont="1" applyFill="1" applyAlignment="1">
      <alignment horizontal="center" vertical="center" wrapText="1"/>
    </xf>
    <xf numFmtId="0" fontId="34" fillId="2" borderId="0" xfId="45" applyFont="1" applyFill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21" xfId="0" applyNumberFormat="1" applyFont="1" applyBorder="1" applyAlignment="1">
      <alignment horizontal="center" vertical="center"/>
    </xf>
    <xf numFmtId="4" fontId="6" fillId="0" borderId="32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4" fontId="6" fillId="0" borderId="15" xfId="0" applyNumberFormat="1" applyFont="1" applyBorder="1" applyAlignment="1">
      <alignment horizontal="center" vertical="center"/>
    </xf>
    <xf numFmtId="176" fontId="6" fillId="0" borderId="33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3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21" fillId="0" borderId="8" xfId="0" applyNumberFormat="1" applyFont="1" applyBorder="1" applyAlignment="1">
      <alignment horizontal="center" vertical="center"/>
    </xf>
    <xf numFmtId="4" fontId="6" fillId="0" borderId="17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6" fontId="22" fillId="0" borderId="8" xfId="0" applyNumberFormat="1" applyFont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80" fontId="6" fillId="0" borderId="35" xfId="0" applyNumberFormat="1" applyFont="1" applyBorder="1" applyAlignment="1">
      <alignment horizontal="center" vertical="center"/>
    </xf>
    <xf numFmtId="180" fontId="6" fillId="0" borderId="22" xfId="0" applyNumberFormat="1" applyFont="1" applyBorder="1" applyAlignment="1">
      <alignment horizontal="center" vertical="center"/>
    </xf>
    <xf numFmtId="180" fontId="6" fillId="0" borderId="2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47">
    <cellStyle name="style1610448736270" xfId="1" xr:uid="{A8C275B5-A91F-44BA-A117-64CFE54E060B}"/>
    <cellStyle name="style1610448736355" xfId="2" xr:uid="{535DF4FC-12BC-4536-B4C0-F6C2D7E90F19}"/>
    <cellStyle name="style1610448736379" xfId="3" xr:uid="{CB0163F2-24FA-4C6D-8133-A9938513A995}"/>
    <cellStyle name="style1610448737479" xfId="4" xr:uid="{7C1721D1-EB47-4A05-8BB2-B237B3EB31D7}"/>
    <cellStyle name="style1614147138300" xfId="5" xr:uid="{7DAA481E-5915-4BB4-AE46-277FD6BF9C08}"/>
    <cellStyle name="style1614157828959" xfId="6" xr:uid="{60FFDCEA-3E88-4C84-9084-5AEC936FE283}"/>
    <cellStyle name="style1614157828982" xfId="7" xr:uid="{E0184AE0-7D87-4B1D-B82D-33017EE09143}"/>
    <cellStyle name="style1614157829003" xfId="8" xr:uid="{D5891682-5EA6-49B9-B628-08ED978D0F88}"/>
    <cellStyle name="style1668650387566" xfId="9" xr:uid="{8E37536C-4155-4B4E-BF48-BAEC1E2D9019}"/>
    <cellStyle name="style1675149071703" xfId="10" xr:uid="{F2161D07-84D8-4D22-8765-3EB9266902B8}"/>
    <cellStyle name="style1675149071730" xfId="11" xr:uid="{E5DED5BA-CB66-4265-9117-9F86DE8227A7}"/>
    <cellStyle name="style1675149071770" xfId="12" xr:uid="{B694EF2A-7E24-44CC-8F4D-41D9AAF65DAB}"/>
    <cellStyle name="style1675149072529" xfId="13" xr:uid="{6AD910F0-2B31-441C-A927-4A9596E9DEC3}"/>
    <cellStyle name="style1731228279822" xfId="14" xr:uid="{B8EA1A88-1C1C-4A6E-8DCD-98A21807F688}"/>
    <cellStyle name="style1731228279844" xfId="15" xr:uid="{A091A5AE-9A87-4BA9-A979-C4E7939ED8DF}"/>
    <cellStyle name="style1731228279897" xfId="16" xr:uid="{80CFD1D5-93A7-45C6-A01E-1920BC308673}"/>
    <cellStyle name="style1731228279925" xfId="17" xr:uid="{2FC2017E-6F2D-4453-943E-4421B62D342C}"/>
    <cellStyle name="style1731228280052" xfId="18" xr:uid="{104B2D14-1FFF-4EC6-9681-67E16553A08D}"/>
    <cellStyle name="style1731228281750" xfId="19" xr:uid="{F85FA382-16F1-45F9-9DCB-D2CEBB7CCAE7}"/>
    <cellStyle name="style1731228281771" xfId="20" xr:uid="{EA887AF1-76BA-4979-9C61-40203E9A454A}"/>
    <cellStyle name="style1731228281793" xfId="21" xr:uid="{9653CCD2-ED62-447B-B2B2-4CD662FC8674}"/>
    <cellStyle name="style1731228282143" xfId="22" xr:uid="{27372AA5-F795-4F62-B69E-B41708110C15}"/>
    <cellStyle name="style1731228282197" xfId="23" xr:uid="{55D35D20-E8D5-4F08-8D9D-44794AFE99C1}"/>
    <cellStyle name="style1731228282218" xfId="24" xr:uid="{0AC238F6-DBE0-48E7-B0D7-C600F3216DA6}"/>
    <cellStyle name="style1731228282416" xfId="25" xr:uid="{701CA299-7A97-4E7F-8280-91801B249931}"/>
    <cellStyle name="style1731228282453" xfId="26" xr:uid="{B16430F2-E7C1-4988-BAF1-9E5305B58341}"/>
    <cellStyle name="style1731229722214" xfId="27" xr:uid="{7E6FA59B-A8FA-4406-B693-AC0FA43C4B2A}"/>
    <cellStyle name="style1731229722289" xfId="28" xr:uid="{45D0AF2A-9FEA-4DCA-A963-A6C8C1EF5494}"/>
    <cellStyle name="style1731229722334" xfId="29" xr:uid="{94C111AC-D90A-41B0-9E6C-DE82B9E3C346}"/>
    <cellStyle name="style1731229722400" xfId="30" xr:uid="{E0345136-2002-4B43-90D9-86F56D3E27C5}"/>
    <cellStyle name="style1731229722421" xfId="31" xr:uid="{676CE2EA-A404-4E5C-BEE7-32449381CD21}"/>
    <cellStyle name="style1731229722477" xfId="32" xr:uid="{E856C898-C3FB-4E28-9E61-2C68F6D8891C}"/>
    <cellStyle name="style1731229722567" xfId="33" xr:uid="{DBC881BA-57BA-4901-BA23-199CE621F709}"/>
    <cellStyle name="style1731229724559" xfId="34" xr:uid="{927035AA-1F2E-4199-95BF-472A35BE3B63}"/>
    <cellStyle name="style1731229724823" xfId="35" xr:uid="{3E086F6C-3F7C-40F6-83D6-CB1E95E26B3F}"/>
    <cellStyle name="style1731229728363" xfId="36" xr:uid="{674C5713-D6C5-4698-A91E-10633CF11FB5}"/>
    <cellStyle name="style1731998517713" xfId="38" xr:uid="{9928FC98-7A5C-4BF1-9F80-8D66CE54D0CC}"/>
    <cellStyle name="style1731998517731" xfId="39" xr:uid="{1950D583-A923-4214-A83A-6E4BBFE73134}"/>
    <cellStyle name="style1731998517779" xfId="40" xr:uid="{4EFD9054-6631-44BB-8916-387E2DC4B57D}"/>
    <cellStyle name="style1731998517804" xfId="42" xr:uid="{1967196D-2AA4-44CC-A482-058714572E29}"/>
    <cellStyle name="style1731998517821" xfId="43" xr:uid="{8D11E741-0B75-4C99-9F94-AF5D4483EF5A}"/>
    <cellStyle name="style1731998518710" xfId="41" xr:uid="{38ECDAF9-238D-4A98-8DB7-4A427D030880}"/>
    <cellStyle name="style1741327647269" xfId="44" xr:uid="{5A806084-57BA-4250-A528-702099DE47DA}"/>
    <cellStyle name="一般" xfId="0" builtinId="0"/>
    <cellStyle name="一般 2" xfId="45" xr:uid="{E64E8FDB-6462-459C-8BE1-90819FB7F3B0}"/>
    <cellStyle name="千分位" xfId="37" builtinId="3"/>
    <cellStyle name="千分位 2" xfId="46" xr:uid="{8FC8FC3A-8AEA-48B7-9758-980FBCEE3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77FB-D67C-4658-906A-C51FA8B70FB8}">
  <sheetPr codeName="工作表2"/>
  <dimension ref="A1:J35"/>
  <sheetViews>
    <sheetView tabSelected="1" view="pageBreakPreview" zoomScale="90" zoomScaleNormal="100" zoomScaleSheetLayoutView="90" workbookViewId="0">
      <selection activeCell="P16" sqref="P16"/>
    </sheetView>
  </sheetViews>
  <sheetFormatPr defaultColWidth="8.75" defaultRowHeight="16.5" x14ac:dyDescent="0.25"/>
  <cols>
    <col min="1" max="1" width="9" style="231" customWidth="1"/>
    <col min="2" max="16384" width="8.75" style="231"/>
  </cols>
  <sheetData>
    <row r="1" spans="1:10" x14ac:dyDescent="0.25">
      <c r="A1" s="226"/>
      <c r="B1" s="227"/>
      <c r="C1" s="228"/>
      <c r="D1" s="229"/>
      <c r="E1" s="229"/>
      <c r="F1" s="230"/>
      <c r="G1" s="230"/>
      <c r="H1" s="230"/>
      <c r="I1" s="229"/>
      <c r="J1" s="229"/>
    </row>
    <row r="2" spans="1:10" x14ac:dyDescent="0.25">
      <c r="A2" s="226"/>
      <c r="B2" s="227"/>
      <c r="C2" s="228"/>
      <c r="D2" s="229"/>
      <c r="E2" s="229"/>
      <c r="F2" s="230"/>
      <c r="G2" s="230"/>
      <c r="H2" s="230"/>
      <c r="I2" s="229"/>
      <c r="J2" s="229"/>
    </row>
    <row r="3" spans="1:10" x14ac:dyDescent="0.25">
      <c r="A3" s="226"/>
      <c r="B3" s="244" t="s">
        <v>283</v>
      </c>
      <c r="C3" s="244"/>
      <c r="D3" s="244"/>
      <c r="E3" s="244"/>
      <c r="F3" s="244"/>
      <c r="G3" s="244"/>
      <c r="H3" s="244"/>
      <c r="I3" s="244"/>
      <c r="J3" s="229"/>
    </row>
    <row r="4" spans="1:10" x14ac:dyDescent="0.25">
      <c r="A4" s="226"/>
      <c r="B4" s="244"/>
      <c r="C4" s="244"/>
      <c r="D4" s="244"/>
      <c r="E4" s="244"/>
      <c r="F4" s="244"/>
      <c r="G4" s="244"/>
      <c r="H4" s="244"/>
      <c r="I4" s="244"/>
      <c r="J4" s="229"/>
    </row>
    <row r="5" spans="1:10" x14ac:dyDescent="0.25">
      <c r="A5" s="226"/>
      <c r="B5" s="244"/>
      <c r="C5" s="244"/>
      <c r="D5" s="244"/>
      <c r="E5" s="244"/>
      <c r="F5" s="244"/>
      <c r="G5" s="244"/>
      <c r="H5" s="244"/>
      <c r="I5" s="244"/>
      <c r="J5" s="229"/>
    </row>
    <row r="6" spans="1:10" x14ac:dyDescent="0.25">
      <c r="A6" s="226"/>
      <c r="B6" s="244"/>
      <c r="C6" s="244"/>
      <c r="D6" s="244"/>
      <c r="E6" s="244"/>
      <c r="F6" s="244"/>
      <c r="G6" s="244"/>
      <c r="H6" s="244"/>
      <c r="I6" s="244"/>
      <c r="J6" s="229"/>
    </row>
    <row r="7" spans="1:10" ht="32.25" x14ac:dyDescent="0.25">
      <c r="A7" s="226"/>
      <c r="B7" s="245" t="s">
        <v>284</v>
      </c>
      <c r="C7" s="245"/>
      <c r="D7" s="245"/>
      <c r="E7" s="245"/>
      <c r="F7" s="245"/>
      <c r="G7" s="245"/>
      <c r="H7" s="245"/>
      <c r="I7" s="245"/>
      <c r="J7" s="229"/>
    </row>
    <row r="8" spans="1:10" ht="32.25" x14ac:dyDescent="0.25">
      <c r="A8" s="226"/>
      <c r="B8" s="245" t="s">
        <v>285</v>
      </c>
      <c r="C8" s="245"/>
      <c r="D8" s="245"/>
      <c r="E8" s="245"/>
      <c r="F8" s="245"/>
      <c r="G8" s="245"/>
      <c r="H8" s="245"/>
      <c r="I8" s="245"/>
      <c r="J8" s="229"/>
    </row>
    <row r="9" spans="1:10" ht="38.25" x14ac:dyDescent="0.25">
      <c r="A9" s="226"/>
      <c r="B9" s="232" t="s">
        <v>286</v>
      </c>
      <c r="C9" s="233"/>
      <c r="D9" s="233"/>
      <c r="E9" s="233"/>
      <c r="F9" s="233"/>
      <c r="G9" s="233"/>
      <c r="H9" s="233"/>
      <c r="I9" s="233"/>
      <c r="J9" s="229"/>
    </row>
    <row r="10" spans="1:10" ht="18.75" customHeight="1" x14ac:dyDescent="0.25">
      <c r="A10" s="226"/>
      <c r="B10" s="232" t="s">
        <v>287</v>
      </c>
      <c r="C10" s="228"/>
      <c r="D10" s="229"/>
      <c r="E10" s="229"/>
      <c r="F10" s="230"/>
      <c r="G10" s="230"/>
      <c r="H10" s="230"/>
      <c r="I10" s="229"/>
      <c r="J10" s="229"/>
    </row>
    <row r="11" spans="1:10" ht="18.75" customHeight="1" x14ac:dyDescent="0.25">
      <c r="A11" s="226"/>
      <c r="B11" s="234" t="s">
        <v>288</v>
      </c>
      <c r="C11" s="228"/>
      <c r="D11" s="229"/>
      <c r="E11" s="229"/>
      <c r="F11" s="230"/>
      <c r="G11" s="230"/>
      <c r="H11" s="230"/>
      <c r="I11" s="229"/>
      <c r="J11" s="229"/>
    </row>
    <row r="12" spans="1:10" ht="18.75" customHeight="1" x14ac:dyDescent="0.25">
      <c r="A12" s="226"/>
      <c r="B12" s="232" t="s">
        <v>289</v>
      </c>
      <c r="C12" s="228"/>
      <c r="D12" s="229"/>
      <c r="E12" s="229"/>
      <c r="F12" s="230"/>
      <c r="G12" s="230"/>
      <c r="H12" s="230"/>
      <c r="I12" s="229"/>
      <c r="J12" s="229"/>
    </row>
    <row r="13" spans="1:10" ht="18.75" customHeight="1" x14ac:dyDescent="0.25">
      <c r="A13" s="226"/>
      <c r="B13" s="232" t="s">
        <v>290</v>
      </c>
      <c r="C13" s="228"/>
      <c r="D13" s="229"/>
      <c r="E13" s="229"/>
      <c r="F13" s="230"/>
      <c r="G13" s="230"/>
      <c r="H13" s="230"/>
      <c r="I13" s="229"/>
      <c r="J13" s="229"/>
    </row>
    <row r="14" spans="1:10" ht="18.75" customHeight="1" x14ac:dyDescent="0.25">
      <c r="A14" s="226"/>
      <c r="B14" s="232" t="s">
        <v>291</v>
      </c>
      <c r="C14" s="228"/>
      <c r="D14" s="229"/>
      <c r="E14" s="229"/>
      <c r="F14" s="230"/>
      <c r="G14" s="230"/>
      <c r="H14" s="230"/>
      <c r="I14" s="229"/>
      <c r="J14" s="229"/>
    </row>
    <row r="15" spans="1:10" ht="18.75" customHeight="1" x14ac:dyDescent="0.25">
      <c r="A15" s="226"/>
      <c r="B15" s="232" t="s">
        <v>292</v>
      </c>
      <c r="C15" s="228"/>
      <c r="D15" s="229"/>
      <c r="E15" s="229"/>
      <c r="F15" s="230"/>
      <c r="G15" s="230"/>
      <c r="H15" s="230"/>
      <c r="I15" s="229"/>
      <c r="J15" s="229"/>
    </row>
    <row r="16" spans="1:10" ht="18.75" customHeight="1" x14ac:dyDescent="0.25">
      <c r="A16" s="226"/>
      <c r="B16" s="232" t="s">
        <v>293</v>
      </c>
      <c r="C16" s="228"/>
      <c r="D16" s="229"/>
      <c r="E16" s="229"/>
      <c r="F16" s="230"/>
      <c r="G16" s="230"/>
      <c r="H16" s="230"/>
      <c r="I16" s="229"/>
      <c r="J16" s="229"/>
    </row>
    <row r="17" spans="1:10" ht="18.75" customHeight="1" x14ac:dyDescent="0.25">
      <c r="A17" s="226"/>
      <c r="B17" s="232" t="s">
        <v>294</v>
      </c>
      <c r="C17" s="228"/>
      <c r="D17" s="229"/>
      <c r="E17" s="229"/>
      <c r="F17" s="230"/>
      <c r="G17" s="230"/>
      <c r="H17" s="230"/>
      <c r="I17" s="229"/>
      <c r="J17" s="229"/>
    </row>
    <row r="18" spans="1:10" ht="18.75" customHeight="1" x14ac:dyDescent="0.25">
      <c r="A18" s="226"/>
      <c r="B18" s="232" t="s">
        <v>295</v>
      </c>
      <c r="C18" s="228"/>
      <c r="D18" s="229"/>
      <c r="E18" s="229"/>
      <c r="F18" s="230"/>
      <c r="G18" s="230"/>
      <c r="H18" s="230"/>
      <c r="I18" s="229"/>
      <c r="J18" s="229"/>
    </row>
    <row r="19" spans="1:10" ht="18.75" customHeight="1" x14ac:dyDescent="0.25">
      <c r="A19" s="226"/>
      <c r="B19" s="232" t="s">
        <v>296</v>
      </c>
      <c r="C19" s="228"/>
      <c r="D19" s="229"/>
      <c r="E19" s="229"/>
      <c r="F19" s="230"/>
      <c r="G19" s="230"/>
      <c r="H19" s="230"/>
      <c r="I19" s="229"/>
      <c r="J19" s="229"/>
    </row>
    <row r="20" spans="1:10" ht="18.75" customHeight="1" x14ac:dyDescent="0.25">
      <c r="A20" s="226"/>
      <c r="B20" s="232" t="s">
        <v>297</v>
      </c>
      <c r="C20" s="228"/>
      <c r="D20" s="229"/>
      <c r="E20" s="229"/>
      <c r="F20" s="230"/>
      <c r="G20" s="230"/>
      <c r="H20" s="230"/>
      <c r="I20" s="229"/>
      <c r="J20" s="229"/>
    </row>
    <row r="21" spans="1:10" ht="18.75" customHeight="1" x14ac:dyDescent="0.25">
      <c r="A21" s="226"/>
      <c r="B21" s="232" t="s">
        <v>298</v>
      </c>
      <c r="C21" s="228"/>
      <c r="D21" s="229"/>
      <c r="E21" s="229"/>
      <c r="F21" s="230"/>
      <c r="G21" s="230"/>
      <c r="H21" s="230"/>
      <c r="I21" s="229"/>
      <c r="J21" s="229"/>
    </row>
    <row r="22" spans="1:10" ht="18.75" customHeight="1" x14ac:dyDescent="0.25">
      <c r="A22" s="226"/>
      <c r="B22" s="232" t="s">
        <v>299</v>
      </c>
      <c r="C22" s="228"/>
      <c r="D22" s="229"/>
      <c r="E22" s="229"/>
      <c r="F22" s="230"/>
      <c r="G22" s="230"/>
      <c r="H22" s="230"/>
      <c r="I22" s="229"/>
      <c r="J22" s="229"/>
    </row>
    <row r="23" spans="1:10" ht="18.75" customHeight="1" x14ac:dyDescent="0.25">
      <c r="A23" s="226"/>
      <c r="B23" s="232" t="s">
        <v>300</v>
      </c>
      <c r="C23" s="228"/>
      <c r="D23" s="229"/>
      <c r="E23" s="229"/>
      <c r="F23" s="230"/>
      <c r="G23" s="230"/>
      <c r="H23" s="230"/>
      <c r="I23" s="229"/>
      <c r="J23" s="229"/>
    </row>
    <row r="24" spans="1:10" ht="18.75" customHeight="1" x14ac:dyDescent="0.25">
      <c r="A24" s="226"/>
      <c r="B24" s="235" t="s">
        <v>301</v>
      </c>
      <c r="C24" s="228"/>
      <c r="D24" s="229"/>
      <c r="E24" s="229"/>
      <c r="F24" s="230"/>
      <c r="G24" s="230"/>
      <c r="H24" s="230"/>
      <c r="I24" s="229"/>
      <c r="J24" s="229"/>
    </row>
    <row r="25" spans="1:10" ht="18.75" customHeight="1" x14ac:dyDescent="0.25">
      <c r="A25" s="226"/>
      <c r="B25" s="235" t="s">
        <v>315</v>
      </c>
      <c r="C25" s="228"/>
      <c r="D25" s="229"/>
      <c r="E25" s="229"/>
      <c r="F25" s="230"/>
      <c r="G25" s="230"/>
      <c r="H25" s="230"/>
      <c r="I25" s="229"/>
      <c r="J25" s="229"/>
    </row>
    <row r="26" spans="1:10" ht="18.75" customHeight="1" x14ac:dyDescent="0.25">
      <c r="A26" s="226"/>
      <c r="B26" s="236"/>
      <c r="C26" s="235" t="s">
        <v>302</v>
      </c>
      <c r="D26" s="229"/>
      <c r="E26" s="229"/>
      <c r="F26" s="230"/>
      <c r="G26" s="230"/>
      <c r="H26" s="230"/>
      <c r="I26" s="229"/>
      <c r="J26" s="229"/>
    </row>
    <row r="27" spans="1:10" ht="18.75" customHeight="1" x14ac:dyDescent="0.25">
      <c r="A27" s="226"/>
      <c r="B27" s="235" t="s">
        <v>303</v>
      </c>
      <c r="C27" s="228"/>
      <c r="D27" s="229"/>
      <c r="E27" s="229"/>
      <c r="F27" s="230"/>
      <c r="G27" s="230"/>
      <c r="H27" s="230"/>
      <c r="I27" s="229"/>
      <c r="J27" s="229"/>
    </row>
    <row r="28" spans="1:10" ht="18.75" customHeight="1" x14ac:dyDescent="0.25">
      <c r="A28" s="226"/>
      <c r="B28" s="235" t="s">
        <v>304</v>
      </c>
      <c r="C28" s="228"/>
      <c r="D28" s="229"/>
      <c r="E28" s="229"/>
      <c r="F28" s="230"/>
      <c r="G28" s="230"/>
      <c r="H28" s="230"/>
      <c r="I28" s="229"/>
      <c r="J28" s="229"/>
    </row>
    <row r="29" spans="1:10" ht="18.75" customHeight="1" x14ac:dyDescent="0.25">
      <c r="A29" s="226"/>
      <c r="B29" s="235" t="s">
        <v>305</v>
      </c>
      <c r="C29" s="228"/>
      <c r="D29" s="229"/>
      <c r="E29" s="229"/>
      <c r="F29" s="230"/>
      <c r="G29" s="230"/>
      <c r="H29" s="230"/>
      <c r="I29" s="229"/>
      <c r="J29" s="229"/>
    </row>
    <row r="30" spans="1:10" ht="18.75" customHeight="1" x14ac:dyDescent="0.25">
      <c r="A30" s="226"/>
      <c r="B30" s="235" t="s">
        <v>306</v>
      </c>
      <c r="C30" s="228"/>
      <c r="D30" s="229"/>
      <c r="E30" s="229"/>
      <c r="F30" s="230"/>
      <c r="G30" s="230"/>
      <c r="H30" s="230"/>
      <c r="I30" s="229"/>
      <c r="J30" s="229"/>
    </row>
    <row r="31" spans="1:10" ht="18.75" customHeight="1" x14ac:dyDescent="0.25">
      <c r="A31" s="226"/>
      <c r="B31" s="235"/>
      <c r="C31" s="232" t="s">
        <v>307</v>
      </c>
      <c r="E31" s="229"/>
      <c r="F31" s="230"/>
      <c r="G31" s="230"/>
      <c r="H31" s="230"/>
      <c r="I31" s="229"/>
      <c r="J31" s="229"/>
    </row>
    <row r="32" spans="1:10" ht="18.75" customHeight="1" x14ac:dyDescent="0.25">
      <c r="A32" s="226"/>
      <c r="B32" s="235" t="s">
        <v>308</v>
      </c>
      <c r="C32" s="228"/>
      <c r="D32" s="229"/>
      <c r="E32" s="229"/>
      <c r="F32" s="230"/>
      <c r="G32" s="230"/>
      <c r="H32" s="230"/>
      <c r="I32" s="229"/>
      <c r="J32" s="229"/>
    </row>
    <row r="33" spans="1:10" ht="18.75" customHeight="1" x14ac:dyDescent="0.25">
      <c r="A33" s="226"/>
      <c r="B33" s="235" t="s">
        <v>309</v>
      </c>
      <c r="C33" s="228"/>
      <c r="D33" s="229"/>
      <c r="E33" s="229"/>
      <c r="F33" s="230"/>
      <c r="G33" s="230"/>
      <c r="H33" s="230"/>
      <c r="I33" s="229"/>
      <c r="J33" s="229"/>
    </row>
    <row r="34" spans="1:10" ht="18.75" customHeight="1" x14ac:dyDescent="0.25">
      <c r="A34" s="226"/>
      <c r="B34" s="235" t="s">
        <v>310</v>
      </c>
      <c r="C34" s="228"/>
      <c r="D34" s="229"/>
      <c r="E34" s="229"/>
      <c r="F34" s="230"/>
      <c r="G34" s="230"/>
      <c r="H34" s="230"/>
      <c r="I34" s="229"/>
      <c r="J34" s="229"/>
    </row>
    <row r="35" spans="1:10" ht="4.5" customHeight="1" x14ac:dyDescent="0.25">
      <c r="A35" s="237"/>
      <c r="B35" s="238"/>
      <c r="C35" s="239"/>
      <c r="D35" s="240"/>
      <c r="E35" s="240"/>
      <c r="F35" s="241"/>
      <c r="G35" s="241"/>
      <c r="H35" s="241"/>
      <c r="I35" s="240"/>
      <c r="J35" s="240"/>
    </row>
  </sheetData>
  <mergeCells count="3">
    <mergeCell ref="B3:I6"/>
    <mergeCell ref="B7:I7"/>
    <mergeCell ref="B8:I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303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2FA9-B77E-4A79-9236-D759E3AC1586}">
  <sheetPr codeName="工作表74"/>
  <dimension ref="A1:B43"/>
  <sheetViews>
    <sheetView showGridLines="0" view="pageBreakPreview" zoomScale="120" zoomScaleNormal="100" zoomScaleSheetLayoutView="120" workbookViewId="0">
      <selection activeCell="G8" sqref="G8"/>
    </sheetView>
  </sheetViews>
  <sheetFormatPr defaultColWidth="9" defaultRowHeight="18.75" customHeight="1" x14ac:dyDescent="0.25"/>
  <cols>
    <col min="1" max="1" width="65.5" style="18" customWidth="1"/>
    <col min="2" max="2" width="5.125" style="15" customWidth="1"/>
    <col min="3" max="16384" width="9" style="20"/>
  </cols>
  <sheetData>
    <row r="1" spans="1:2" ht="11.25" customHeight="1" x14ac:dyDescent="0.25"/>
    <row r="2" spans="1:2" s="10" customFormat="1" ht="45" customHeight="1" x14ac:dyDescent="0.25">
      <c r="A2" s="300" t="s">
        <v>316</v>
      </c>
      <c r="B2" s="300"/>
    </row>
    <row r="3" spans="1:2" s="243" customFormat="1" ht="18.75" customHeight="1" x14ac:dyDescent="0.25">
      <c r="A3" s="301"/>
      <c r="B3" s="301"/>
    </row>
    <row r="4" spans="1:2" s="12" customFormat="1" ht="24" customHeight="1" x14ac:dyDescent="0.25">
      <c r="A4" s="242" t="s">
        <v>239</v>
      </c>
      <c r="B4" s="11"/>
    </row>
    <row r="5" spans="1:2" s="12" customFormat="1" ht="24" customHeight="1" x14ac:dyDescent="0.25">
      <c r="A5" s="298" t="s">
        <v>253</v>
      </c>
      <c r="B5" s="15"/>
    </row>
    <row r="6" spans="1:2" s="12" customFormat="1" ht="24" customHeight="1" x14ac:dyDescent="0.25">
      <c r="A6" s="298" t="s">
        <v>254</v>
      </c>
      <c r="B6" s="15"/>
    </row>
    <row r="7" spans="1:2" s="12" customFormat="1" ht="24" customHeight="1" x14ac:dyDescent="0.25">
      <c r="A7" s="299" t="s">
        <v>255</v>
      </c>
      <c r="B7" s="15"/>
    </row>
    <row r="8" spans="1:2" s="10" customFormat="1" ht="24" customHeight="1" x14ac:dyDescent="0.25">
      <c r="A8" s="298" t="s">
        <v>256</v>
      </c>
      <c r="B8" s="15"/>
    </row>
    <row r="9" spans="1:2" s="12" customFormat="1" ht="24" customHeight="1" x14ac:dyDescent="0.25">
      <c r="A9" s="242" t="s">
        <v>240</v>
      </c>
      <c r="B9" s="11"/>
    </row>
    <row r="10" spans="1:2" s="12" customFormat="1" ht="24" customHeight="1" x14ac:dyDescent="0.25">
      <c r="A10" s="298" t="s">
        <v>257</v>
      </c>
      <c r="B10" s="15"/>
    </row>
    <row r="11" spans="1:2" s="12" customFormat="1" ht="24" customHeight="1" x14ac:dyDescent="0.25">
      <c r="A11" s="298" t="s">
        <v>258</v>
      </c>
      <c r="B11" s="15"/>
    </row>
    <row r="12" spans="1:2" s="12" customFormat="1" ht="24" customHeight="1" x14ac:dyDescent="0.25">
      <c r="A12" s="298" t="s">
        <v>259</v>
      </c>
      <c r="B12" s="15"/>
    </row>
    <row r="13" spans="1:2" s="10" customFormat="1" ht="24" customHeight="1" x14ac:dyDescent="0.25">
      <c r="A13" s="242" t="s">
        <v>236</v>
      </c>
      <c r="B13" s="11"/>
    </row>
    <row r="14" spans="1:2" s="10" customFormat="1" ht="24" customHeight="1" x14ac:dyDescent="0.25">
      <c r="A14" s="298" t="s">
        <v>241</v>
      </c>
      <c r="B14" s="15"/>
    </row>
    <row r="15" spans="1:2" s="12" customFormat="1" ht="24" customHeight="1" x14ac:dyDescent="0.25">
      <c r="A15" s="298" t="s">
        <v>242</v>
      </c>
      <c r="B15" s="15"/>
    </row>
    <row r="16" spans="1:2" s="12" customFormat="1" ht="24" customHeight="1" x14ac:dyDescent="0.25">
      <c r="A16" s="298" t="s">
        <v>243</v>
      </c>
      <c r="B16" s="15"/>
    </row>
    <row r="17" spans="1:2" s="12" customFormat="1" ht="24" customHeight="1" x14ac:dyDescent="0.25">
      <c r="A17" s="298" t="s">
        <v>244</v>
      </c>
      <c r="B17" s="15"/>
    </row>
    <row r="18" spans="1:2" s="12" customFormat="1" ht="24" customHeight="1" x14ac:dyDescent="0.25">
      <c r="A18" s="298" t="s">
        <v>245</v>
      </c>
      <c r="B18" s="15"/>
    </row>
    <row r="19" spans="1:2" s="12" customFormat="1" ht="24" customHeight="1" x14ac:dyDescent="0.25">
      <c r="A19" s="298" t="s">
        <v>246</v>
      </c>
      <c r="B19" s="15"/>
    </row>
    <row r="20" spans="1:2" s="12" customFormat="1" ht="24" customHeight="1" x14ac:dyDescent="0.25">
      <c r="A20" s="243" t="s">
        <v>238</v>
      </c>
      <c r="B20" s="11"/>
    </row>
    <row r="21" spans="1:2" s="12" customFormat="1" ht="24" customHeight="1" x14ac:dyDescent="0.25">
      <c r="A21" s="298" t="s">
        <v>247</v>
      </c>
      <c r="B21" s="15"/>
    </row>
    <row r="22" spans="1:2" s="12" customFormat="1" ht="24" customHeight="1" x14ac:dyDescent="0.25">
      <c r="A22" s="298" t="s">
        <v>248</v>
      </c>
      <c r="B22" s="15"/>
    </row>
    <row r="23" spans="1:2" s="10" customFormat="1" ht="24" customHeight="1" x14ac:dyDescent="0.25">
      <c r="A23" s="298" t="s">
        <v>249</v>
      </c>
      <c r="B23" s="15"/>
    </row>
    <row r="24" spans="1:2" s="12" customFormat="1" ht="24" customHeight="1" x14ac:dyDescent="0.25">
      <c r="A24" s="298" t="s">
        <v>250</v>
      </c>
      <c r="B24" s="15"/>
    </row>
    <row r="25" spans="1:2" s="12" customFormat="1" ht="24" customHeight="1" x14ac:dyDescent="0.25">
      <c r="A25" s="298" t="s">
        <v>251</v>
      </c>
      <c r="B25" s="15"/>
    </row>
    <row r="26" spans="1:2" s="12" customFormat="1" ht="24" customHeight="1" x14ac:dyDescent="0.25">
      <c r="A26" s="298" t="s">
        <v>252</v>
      </c>
      <c r="B26" s="15"/>
    </row>
    <row r="27" spans="1:2" s="10" customFormat="1" ht="24" customHeight="1" x14ac:dyDescent="0.25">
      <c r="A27" s="243" t="s">
        <v>156</v>
      </c>
      <c r="B27" s="11"/>
    </row>
    <row r="28" spans="1:2" s="12" customFormat="1" ht="24" customHeight="1" x14ac:dyDescent="0.25">
      <c r="A28" s="298" t="s">
        <v>235</v>
      </c>
      <c r="B28" s="15"/>
    </row>
    <row r="29" spans="1:2" s="12" customFormat="1" ht="24" customHeight="1" x14ac:dyDescent="0.25">
      <c r="A29" s="299" t="s">
        <v>203</v>
      </c>
      <c r="B29" s="15"/>
    </row>
    <row r="30" spans="1:2" s="12" customFormat="1" ht="24" customHeight="1" x14ac:dyDescent="0.25">
      <c r="A30" s="298" t="s">
        <v>201</v>
      </c>
      <c r="B30" s="15"/>
    </row>
    <row r="31" spans="1:2" s="12" customFormat="1" ht="24" customHeight="1" x14ac:dyDescent="0.25">
      <c r="A31" s="298" t="s">
        <v>202</v>
      </c>
      <c r="B31" s="15"/>
    </row>
    <row r="32" spans="1:2" s="12" customFormat="1" ht="2.25" customHeight="1" x14ac:dyDescent="0.25">
      <c r="A32" s="13"/>
      <c r="B32" s="15"/>
    </row>
    <row r="33" spans="1:2" s="12" customFormat="1" ht="18" customHeight="1" x14ac:dyDescent="0.25">
      <c r="A33" s="13"/>
      <c r="B33" s="15"/>
    </row>
    <row r="34" spans="1:2" s="12" customFormat="1" ht="18" customHeight="1" x14ac:dyDescent="0.25">
      <c r="A34" s="13"/>
      <c r="B34" s="15"/>
    </row>
    <row r="35" spans="1:2" s="12" customFormat="1" ht="18" customHeight="1" x14ac:dyDescent="0.25">
      <c r="A35" s="13"/>
      <c r="B35" s="15"/>
    </row>
    <row r="36" spans="1:2" s="12" customFormat="1" ht="17.649999999999999" customHeight="1" x14ac:dyDescent="0.25">
      <c r="A36" s="13"/>
      <c r="B36" s="15"/>
    </row>
    <row r="37" spans="1:2" s="12" customFormat="1" ht="17.649999999999999" customHeight="1" x14ac:dyDescent="0.25">
      <c r="A37" s="13"/>
      <c r="B37" s="15"/>
    </row>
    <row r="38" spans="1:2" s="12" customFormat="1" ht="17.649999999999999" customHeight="1" x14ac:dyDescent="0.25">
      <c r="A38" s="13"/>
      <c r="B38" s="15"/>
    </row>
    <row r="39" spans="1:2" s="12" customFormat="1" ht="17.649999999999999" customHeight="1" x14ac:dyDescent="0.25">
      <c r="A39" s="13"/>
      <c r="B39" s="15"/>
    </row>
    <row r="40" spans="1:2" s="10" customFormat="1" ht="18" customHeight="1" x14ac:dyDescent="0.25">
      <c r="A40" s="17"/>
      <c r="B40" s="11"/>
    </row>
    <row r="41" spans="1:2" s="12" customFormat="1" ht="18" customHeight="1" x14ac:dyDescent="0.25">
      <c r="A41" s="13"/>
      <c r="B41" s="15"/>
    </row>
    <row r="42" spans="1:2" s="12" customFormat="1" ht="18" customHeight="1" x14ac:dyDescent="0.25">
      <c r="A42" s="16"/>
      <c r="B42" s="15"/>
    </row>
    <row r="43" spans="1:2" s="12" customFormat="1" ht="18" customHeight="1" x14ac:dyDescent="0.25">
      <c r="A43" s="13"/>
      <c r="B43" s="15"/>
    </row>
  </sheetData>
  <mergeCells count="1">
    <mergeCell ref="A2:B2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30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1D82-2171-4375-A8DE-D7BBC8C723B2}">
  <sheetPr codeName="工作表75"/>
  <dimension ref="A14:I23"/>
  <sheetViews>
    <sheetView showGridLines="0" view="pageBreakPreview" zoomScale="120" zoomScaleNormal="85" zoomScaleSheetLayoutView="120" workbookViewId="0"/>
  </sheetViews>
  <sheetFormatPr defaultColWidth="9" defaultRowHeight="11.1" customHeight="1" x14ac:dyDescent="0.25"/>
  <cols>
    <col min="1" max="1" width="3.625" style="18" customWidth="1"/>
    <col min="2" max="2" width="9" style="44"/>
    <col min="3" max="3" width="9" style="48"/>
    <col min="4" max="5" width="9" style="46"/>
    <col min="6" max="8" width="9" style="47"/>
    <col min="9" max="16384" width="9" style="46"/>
  </cols>
  <sheetData>
    <row r="14" spans="2:9" ht="11.1" customHeight="1" thickBot="1" x14ac:dyDescent="0.3"/>
    <row r="15" spans="2:9" ht="11.1" customHeight="1" x14ac:dyDescent="0.25">
      <c r="B15" s="246" t="s">
        <v>239</v>
      </c>
      <c r="C15" s="247"/>
      <c r="D15" s="247"/>
      <c r="E15" s="247"/>
      <c r="F15" s="247"/>
      <c r="G15" s="247"/>
      <c r="H15" s="247"/>
      <c r="I15" s="248"/>
    </row>
    <row r="16" spans="2:9" ht="11.1" customHeight="1" x14ac:dyDescent="0.25">
      <c r="B16" s="249"/>
      <c r="C16" s="250"/>
      <c r="D16" s="250"/>
      <c r="E16" s="250"/>
      <c r="F16" s="250"/>
      <c r="G16" s="250"/>
      <c r="H16" s="250"/>
      <c r="I16" s="251"/>
    </row>
    <row r="17" spans="2:9" ht="11.1" customHeight="1" x14ac:dyDescent="0.25">
      <c r="B17" s="249"/>
      <c r="C17" s="250"/>
      <c r="D17" s="250"/>
      <c r="E17" s="250"/>
      <c r="F17" s="250"/>
      <c r="G17" s="250"/>
      <c r="H17" s="250"/>
      <c r="I17" s="251"/>
    </row>
    <row r="18" spans="2:9" ht="11.1" customHeight="1" x14ac:dyDescent="0.25">
      <c r="B18" s="249"/>
      <c r="C18" s="250"/>
      <c r="D18" s="250"/>
      <c r="E18" s="250"/>
      <c r="F18" s="250"/>
      <c r="G18" s="250"/>
      <c r="H18" s="250"/>
      <c r="I18" s="251"/>
    </row>
    <row r="19" spans="2:9" ht="11.1" customHeight="1" x14ac:dyDescent="0.25">
      <c r="B19" s="249"/>
      <c r="C19" s="250"/>
      <c r="D19" s="250"/>
      <c r="E19" s="250"/>
      <c r="F19" s="250"/>
      <c r="G19" s="250"/>
      <c r="H19" s="250"/>
      <c r="I19" s="251"/>
    </row>
    <row r="20" spans="2:9" ht="11.1" customHeight="1" x14ac:dyDescent="0.25">
      <c r="B20" s="249"/>
      <c r="C20" s="250"/>
      <c r="D20" s="250"/>
      <c r="E20" s="250"/>
      <c r="F20" s="250"/>
      <c r="G20" s="250"/>
      <c r="H20" s="250"/>
      <c r="I20" s="251"/>
    </row>
    <row r="21" spans="2:9" ht="11.1" customHeight="1" x14ac:dyDescent="0.25">
      <c r="B21" s="249"/>
      <c r="C21" s="250"/>
      <c r="D21" s="250"/>
      <c r="E21" s="250"/>
      <c r="F21" s="250"/>
      <c r="G21" s="250"/>
      <c r="H21" s="250"/>
      <c r="I21" s="251"/>
    </row>
    <row r="22" spans="2:9" ht="11.1" customHeight="1" x14ac:dyDescent="0.25">
      <c r="B22" s="249"/>
      <c r="C22" s="250"/>
      <c r="D22" s="250"/>
      <c r="E22" s="250"/>
      <c r="F22" s="250"/>
      <c r="G22" s="250"/>
      <c r="H22" s="250"/>
      <c r="I22" s="251"/>
    </row>
    <row r="23" spans="2:9" ht="11.1" customHeight="1" thickBot="1" x14ac:dyDescent="0.3">
      <c r="B23" s="252"/>
      <c r="C23" s="253"/>
      <c r="D23" s="253"/>
      <c r="E23" s="253"/>
      <c r="F23" s="253"/>
      <c r="G23" s="253"/>
      <c r="H23" s="253"/>
      <c r="I23" s="254"/>
    </row>
  </sheetData>
  <mergeCells count="1">
    <mergeCell ref="B15:I23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30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CEC6-E30A-42C2-A48B-F00E46D5F988}">
  <sheetPr codeName="工作表14"/>
  <dimension ref="A1:G84"/>
  <sheetViews>
    <sheetView showGridLines="0" view="pageBreakPreview" zoomScale="120" zoomScaleNormal="100" zoomScaleSheetLayoutView="120" workbookViewId="0">
      <selection activeCell="I7" sqref="I7"/>
    </sheetView>
  </sheetViews>
  <sheetFormatPr defaultColWidth="9" defaultRowHeight="11.1" customHeight="1" x14ac:dyDescent="0.25"/>
  <cols>
    <col min="1" max="1" width="1.375" style="18" customWidth="1"/>
    <col min="2" max="2" width="14.75" style="44" customWidth="1"/>
    <col min="3" max="3" width="4" style="48" customWidth="1"/>
    <col min="4" max="4" width="14.625" style="46" customWidth="1"/>
    <col min="5" max="7" width="14.625" style="47" customWidth="1"/>
    <col min="8" max="16384" width="9" style="46"/>
  </cols>
  <sheetData>
    <row r="1" spans="1:7" s="14" customFormat="1" ht="22.15" customHeight="1" x14ac:dyDescent="0.25">
      <c r="A1" s="255" t="s">
        <v>253</v>
      </c>
      <c r="B1" s="256"/>
      <c r="C1" s="256"/>
      <c r="D1" s="256"/>
      <c r="E1" s="256"/>
      <c r="F1" s="256"/>
      <c r="G1" s="256"/>
    </row>
    <row r="2" spans="1:7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</row>
    <row r="3" spans="1:7" s="19" customFormat="1" ht="13.5" customHeight="1" x14ac:dyDescent="0.25">
      <c r="A3" s="257" t="s">
        <v>208</v>
      </c>
      <c r="B3" s="257"/>
      <c r="C3" s="257"/>
      <c r="D3" s="257"/>
      <c r="E3" s="257"/>
      <c r="F3" s="257"/>
      <c r="G3" s="257"/>
    </row>
    <row r="4" spans="1:7" s="122" customFormat="1" ht="13.5" x14ac:dyDescent="0.25">
      <c r="A4" s="24"/>
      <c r="B4" s="24"/>
      <c r="C4" s="24"/>
      <c r="D4" s="24"/>
      <c r="E4" s="120"/>
      <c r="F4" s="120"/>
      <c r="G4" s="75" t="s">
        <v>170</v>
      </c>
    </row>
    <row r="5" spans="1:7" s="19" customFormat="1" ht="7.5" customHeight="1" x14ac:dyDescent="0.25">
      <c r="A5" s="258" t="s">
        <v>21</v>
      </c>
      <c r="B5" s="258"/>
      <c r="C5" s="259"/>
      <c r="D5" s="259" t="s">
        <v>311</v>
      </c>
      <c r="E5" s="264" t="s">
        <v>81</v>
      </c>
      <c r="F5" s="51"/>
      <c r="G5" s="51"/>
    </row>
    <row r="6" spans="1:7" s="19" customFormat="1" ht="13.5" customHeight="1" x14ac:dyDescent="0.25">
      <c r="A6" s="260"/>
      <c r="B6" s="260"/>
      <c r="C6" s="261"/>
      <c r="D6" s="261"/>
      <c r="E6" s="265"/>
      <c r="F6" s="267" t="s">
        <v>79</v>
      </c>
      <c r="G6" s="269" t="s">
        <v>80</v>
      </c>
    </row>
    <row r="7" spans="1:7" s="19" customFormat="1" ht="22.5" customHeight="1" x14ac:dyDescent="0.25">
      <c r="A7" s="262"/>
      <c r="B7" s="262"/>
      <c r="C7" s="263"/>
      <c r="D7" s="263"/>
      <c r="E7" s="266"/>
      <c r="F7" s="268"/>
      <c r="G7" s="266"/>
    </row>
    <row r="8" spans="1:7" s="19" customFormat="1" ht="4.5" customHeight="1" x14ac:dyDescent="0.25">
      <c r="A8" s="30"/>
      <c r="B8" s="31"/>
      <c r="C8" s="32"/>
      <c r="D8" s="77"/>
      <c r="E8" s="80"/>
      <c r="F8" s="81"/>
      <c r="G8" s="81"/>
    </row>
    <row r="9" spans="1:7" s="19" customFormat="1" ht="14.1" customHeight="1" x14ac:dyDescent="0.25">
      <c r="A9" s="33" t="s">
        <v>22</v>
      </c>
      <c r="B9" s="34"/>
      <c r="C9" s="35"/>
      <c r="D9" s="214">
        <v>34236.000000002343</v>
      </c>
      <c r="E9" s="215">
        <v>100</v>
      </c>
      <c r="F9" s="216">
        <v>76.100253208287668</v>
      </c>
      <c r="G9" s="216">
        <v>23.899746791706477</v>
      </c>
    </row>
    <row r="10" spans="1:7" s="19" customFormat="1" ht="14.1" customHeight="1" x14ac:dyDescent="0.25">
      <c r="A10" s="33" t="s">
        <v>23</v>
      </c>
      <c r="B10" s="34"/>
      <c r="C10" s="36" t="s">
        <v>19</v>
      </c>
      <c r="D10" s="157"/>
      <c r="E10" s="158"/>
      <c r="F10" s="159"/>
      <c r="G10" s="159"/>
    </row>
    <row r="11" spans="1:7" s="19" customFormat="1" ht="14.1" customHeight="1" x14ac:dyDescent="0.25">
      <c r="A11" s="37"/>
      <c r="B11" s="38" t="s">
        <v>24</v>
      </c>
      <c r="C11" s="35"/>
      <c r="D11" s="157">
        <v>5980.4970728673106</v>
      </c>
      <c r="E11" s="158">
        <v>100</v>
      </c>
      <c r="F11" s="159">
        <v>76.904461905696692</v>
      </c>
      <c r="G11" s="159">
        <v>23.09553809430319</v>
      </c>
    </row>
    <row r="12" spans="1:7" s="19" customFormat="1" ht="14.1" customHeight="1" x14ac:dyDescent="0.25">
      <c r="A12" s="37"/>
      <c r="B12" s="38" t="s">
        <v>25</v>
      </c>
      <c r="C12" s="35"/>
      <c r="D12" s="157">
        <v>3636.2279243168505</v>
      </c>
      <c r="E12" s="158">
        <v>100</v>
      </c>
      <c r="F12" s="159">
        <v>78.197225701718381</v>
      </c>
      <c r="G12" s="159">
        <v>21.802774298281715</v>
      </c>
    </row>
    <row r="13" spans="1:7" s="19" customFormat="1" ht="14.1" customHeight="1" x14ac:dyDescent="0.25">
      <c r="A13" s="37"/>
      <c r="B13" s="38" t="s">
        <v>26</v>
      </c>
      <c r="C13" s="35"/>
      <c r="D13" s="157">
        <v>3357.9804981999582</v>
      </c>
      <c r="E13" s="158">
        <v>100</v>
      </c>
      <c r="F13" s="159">
        <v>79.072231670010652</v>
      </c>
      <c r="G13" s="159">
        <v>20.927768329989732</v>
      </c>
    </row>
    <row r="14" spans="1:7" s="19" customFormat="1" ht="14.1" customHeight="1" x14ac:dyDescent="0.25">
      <c r="A14" s="37"/>
      <c r="B14" s="38" t="s">
        <v>27</v>
      </c>
      <c r="C14" s="35"/>
      <c r="D14" s="157">
        <v>4082.867595232331</v>
      </c>
      <c r="E14" s="158">
        <v>100</v>
      </c>
      <c r="F14" s="159">
        <v>75.549277126389555</v>
      </c>
      <c r="G14" s="159">
        <v>24.450722873610545</v>
      </c>
    </row>
    <row r="15" spans="1:7" s="19" customFormat="1" ht="14.1" customHeight="1" x14ac:dyDescent="0.25">
      <c r="A15" s="37"/>
      <c r="B15" s="38" t="s">
        <v>28</v>
      </c>
      <c r="C15" s="35"/>
      <c r="D15" s="157">
        <v>2740.293166317872</v>
      </c>
      <c r="E15" s="158">
        <v>100</v>
      </c>
      <c r="F15" s="159">
        <v>78.050540438228154</v>
      </c>
      <c r="G15" s="159">
        <v>21.949459561771963</v>
      </c>
    </row>
    <row r="16" spans="1:7" s="19" customFormat="1" ht="14.1" customHeight="1" x14ac:dyDescent="0.25">
      <c r="A16" s="37"/>
      <c r="B16" s="38" t="s">
        <v>29</v>
      </c>
      <c r="C16" s="35"/>
      <c r="D16" s="157">
        <v>4037.8334641233828</v>
      </c>
      <c r="E16" s="158">
        <v>100</v>
      </c>
      <c r="F16" s="159">
        <v>77.393541539183261</v>
      </c>
      <c r="G16" s="159">
        <v>22.606458460816668</v>
      </c>
    </row>
    <row r="17" spans="1:7" s="19" customFormat="1" ht="14.1" customHeight="1" x14ac:dyDescent="0.25">
      <c r="A17" s="37"/>
      <c r="B17" s="38" t="s">
        <v>30</v>
      </c>
      <c r="C17" s="35"/>
      <c r="D17" s="157">
        <v>662.92572577318674</v>
      </c>
      <c r="E17" s="158">
        <v>100</v>
      </c>
      <c r="F17" s="159">
        <v>73.706997358966035</v>
      </c>
      <c r="G17" s="159">
        <v>26.293002641034484</v>
      </c>
    </row>
    <row r="18" spans="1:7" s="19" customFormat="1" ht="14.1" customHeight="1" x14ac:dyDescent="0.25">
      <c r="A18" s="37"/>
      <c r="B18" s="38" t="s">
        <v>31</v>
      </c>
      <c r="C18" s="35"/>
      <c r="D18" s="157">
        <v>837.20173510160305</v>
      </c>
      <c r="E18" s="158">
        <v>100</v>
      </c>
      <c r="F18" s="159">
        <v>77.895473491647337</v>
      </c>
      <c r="G18" s="159">
        <v>22.104526508352237</v>
      </c>
    </row>
    <row r="19" spans="1:7" s="19" customFormat="1" ht="14.1" customHeight="1" x14ac:dyDescent="0.25">
      <c r="A19" s="37"/>
      <c r="B19" s="38" t="s">
        <v>32</v>
      </c>
      <c r="C19" s="35"/>
      <c r="D19" s="157">
        <v>784.81580450818956</v>
      </c>
      <c r="E19" s="158">
        <v>100</v>
      </c>
      <c r="F19" s="159">
        <v>73.586899891726517</v>
      </c>
      <c r="G19" s="159">
        <v>26.413100108273674</v>
      </c>
    </row>
    <row r="20" spans="1:7" s="19" customFormat="1" ht="14.1" customHeight="1" x14ac:dyDescent="0.25">
      <c r="A20" s="37"/>
      <c r="B20" s="38" t="s">
        <v>33</v>
      </c>
      <c r="C20" s="35"/>
      <c r="D20" s="157">
        <v>1775.9602684124147</v>
      </c>
      <c r="E20" s="158">
        <v>100</v>
      </c>
      <c r="F20" s="159">
        <v>73.663822698904085</v>
      </c>
      <c r="G20" s="159">
        <v>26.336177301096075</v>
      </c>
    </row>
    <row r="21" spans="1:7" s="19" customFormat="1" ht="14.1" customHeight="1" x14ac:dyDescent="0.25">
      <c r="A21" s="37"/>
      <c r="B21" s="38" t="s">
        <v>34</v>
      </c>
      <c r="C21" s="35"/>
      <c r="D21" s="157">
        <v>705.41404513386442</v>
      </c>
      <c r="E21" s="158">
        <v>100</v>
      </c>
      <c r="F21" s="159">
        <v>72.15615178793135</v>
      </c>
      <c r="G21" s="159">
        <v>27.843848212069105</v>
      </c>
    </row>
    <row r="22" spans="1:7" s="19" customFormat="1" ht="14.1" customHeight="1" x14ac:dyDescent="0.25">
      <c r="A22" s="37"/>
      <c r="B22" s="38" t="s">
        <v>35</v>
      </c>
      <c r="C22" s="35"/>
      <c r="D22" s="157">
        <v>978.05836046228183</v>
      </c>
      <c r="E22" s="158">
        <v>100</v>
      </c>
      <c r="F22" s="159">
        <v>71.206565202253643</v>
      </c>
      <c r="G22" s="159">
        <v>28.793434797746379</v>
      </c>
    </row>
    <row r="23" spans="1:7" s="19" customFormat="1" ht="14.1" customHeight="1" x14ac:dyDescent="0.25">
      <c r="A23" s="37"/>
      <c r="B23" s="38" t="s">
        <v>36</v>
      </c>
      <c r="C23" s="35"/>
      <c r="D23" s="157">
        <v>728.88267633203054</v>
      </c>
      <c r="E23" s="158">
        <v>100</v>
      </c>
      <c r="F23" s="159">
        <v>71.204028752973073</v>
      </c>
      <c r="G23" s="159">
        <v>28.795971247027126</v>
      </c>
    </row>
    <row r="24" spans="1:7" s="19" customFormat="1" ht="14.1" customHeight="1" x14ac:dyDescent="0.25">
      <c r="A24" s="37"/>
      <c r="B24" s="38" t="s">
        <v>37</v>
      </c>
      <c r="C24" s="35"/>
      <c r="D24" s="157">
        <v>1179.6142455826673</v>
      </c>
      <c r="E24" s="158">
        <v>100</v>
      </c>
      <c r="F24" s="159">
        <v>68.871559861243668</v>
      </c>
      <c r="G24" s="159">
        <v>31.128440138756478</v>
      </c>
    </row>
    <row r="25" spans="1:7" s="19" customFormat="1" ht="14.1" customHeight="1" x14ac:dyDescent="0.25">
      <c r="A25" s="37"/>
      <c r="B25" s="38" t="s">
        <v>38</v>
      </c>
      <c r="C25" s="35"/>
      <c r="D25" s="157">
        <v>310.98593414410072</v>
      </c>
      <c r="E25" s="158">
        <v>100</v>
      </c>
      <c r="F25" s="159">
        <v>64.872158949383547</v>
      </c>
      <c r="G25" s="159">
        <v>35.127841050616183</v>
      </c>
    </row>
    <row r="26" spans="1:7" s="19" customFormat="1" ht="14.1" customHeight="1" x14ac:dyDescent="0.25">
      <c r="A26" s="37"/>
      <c r="B26" s="38" t="s">
        <v>39</v>
      </c>
      <c r="C26" s="35"/>
      <c r="D26" s="157">
        <v>466.47308886056038</v>
      </c>
      <c r="E26" s="158">
        <v>100</v>
      </c>
      <c r="F26" s="159">
        <v>71.306836588577923</v>
      </c>
      <c r="G26" s="159">
        <v>28.693163411422134</v>
      </c>
    </row>
    <row r="27" spans="1:7" s="19" customFormat="1" ht="14.1" customHeight="1" x14ac:dyDescent="0.25">
      <c r="A27" s="37"/>
      <c r="B27" s="38" t="s">
        <v>40</v>
      </c>
      <c r="C27" s="35"/>
      <c r="D27" s="157">
        <v>162.01858172625484</v>
      </c>
      <c r="E27" s="158">
        <v>100</v>
      </c>
      <c r="F27" s="159">
        <v>73.84456754742321</v>
      </c>
      <c r="G27" s="159">
        <v>26.15543245257529</v>
      </c>
    </row>
    <row r="28" spans="1:7" s="19" customFormat="1" ht="14.1" customHeight="1" x14ac:dyDescent="0.25">
      <c r="A28" s="37"/>
      <c r="B28" s="38" t="s">
        <v>41</v>
      </c>
      <c r="C28" s="35"/>
      <c r="D28" s="157">
        <v>543.40044542669193</v>
      </c>
      <c r="E28" s="158">
        <v>100</v>
      </c>
      <c r="F28" s="159">
        <v>73.69686341893545</v>
      </c>
      <c r="G28" s="159">
        <v>26.303136581064539</v>
      </c>
    </row>
    <row r="29" spans="1:7" s="19" customFormat="1" ht="14.1" customHeight="1" x14ac:dyDescent="0.25">
      <c r="A29" s="37"/>
      <c r="B29" s="38" t="s">
        <v>42</v>
      </c>
      <c r="C29" s="35"/>
      <c r="D29" s="157">
        <v>641.70564585172906</v>
      </c>
      <c r="E29" s="158">
        <v>100</v>
      </c>
      <c r="F29" s="159">
        <v>78.730331561805954</v>
      </c>
      <c r="G29" s="159">
        <v>21.269668438193996</v>
      </c>
    </row>
    <row r="30" spans="1:7" s="19" customFormat="1" ht="14.1" customHeight="1" x14ac:dyDescent="0.25">
      <c r="A30" s="37"/>
      <c r="B30" s="38" t="s">
        <v>43</v>
      </c>
      <c r="C30" s="35"/>
      <c r="D30" s="157">
        <v>382.26534175006776</v>
      </c>
      <c r="E30" s="158">
        <v>100</v>
      </c>
      <c r="F30" s="159">
        <v>80.848565486687406</v>
      </c>
      <c r="G30" s="159">
        <v>19.151434513313255</v>
      </c>
    </row>
    <row r="31" spans="1:7" s="19" customFormat="1" ht="14.1" customHeight="1" x14ac:dyDescent="0.25">
      <c r="A31" s="37"/>
      <c r="B31" s="38" t="s">
        <v>44</v>
      </c>
      <c r="C31" s="35"/>
      <c r="D31" s="157">
        <v>219.73693340495529</v>
      </c>
      <c r="E31" s="158">
        <v>100</v>
      </c>
      <c r="F31" s="159">
        <v>74.662097068842314</v>
      </c>
      <c r="G31" s="159">
        <v>25.337902931157458</v>
      </c>
    </row>
    <row r="32" spans="1:7" s="19" customFormat="1" ht="14.1" customHeight="1" x14ac:dyDescent="0.25">
      <c r="A32" s="37"/>
      <c r="B32" s="38" t="s">
        <v>45</v>
      </c>
      <c r="C32" s="35"/>
      <c r="D32" s="157">
        <v>20.84144647162276</v>
      </c>
      <c r="E32" s="158">
        <v>100</v>
      </c>
      <c r="F32" s="159">
        <v>53.478966098737736</v>
      </c>
      <c r="G32" s="159">
        <v>46.521033901262307</v>
      </c>
    </row>
    <row r="33" spans="1:7" s="19" customFormat="1" ht="14.1" customHeight="1" x14ac:dyDescent="0.25">
      <c r="A33" s="37" t="s">
        <v>232</v>
      </c>
      <c r="B33" s="38"/>
      <c r="C33" s="36" t="s">
        <v>19</v>
      </c>
      <c r="D33" s="157"/>
      <c r="E33" s="158"/>
      <c r="F33" s="159"/>
      <c r="G33" s="159"/>
    </row>
    <row r="34" spans="1:7" s="19" customFormat="1" ht="14.1" customHeight="1" x14ac:dyDescent="0.25">
      <c r="A34" s="37"/>
      <c r="B34" s="38" t="s">
        <v>233</v>
      </c>
      <c r="C34" s="35"/>
      <c r="D34" s="157">
        <v>23835.699721057747</v>
      </c>
      <c r="E34" s="158">
        <v>100</v>
      </c>
      <c r="F34" s="159">
        <v>77.389553000298108</v>
      </c>
      <c r="G34" s="159">
        <v>22.610446999701761</v>
      </c>
    </row>
    <row r="35" spans="1:7" s="19" customFormat="1" ht="14.1" customHeight="1" x14ac:dyDescent="0.25">
      <c r="A35" s="37"/>
      <c r="B35" s="38" t="s">
        <v>234</v>
      </c>
      <c r="C35" s="35"/>
      <c r="D35" s="157">
        <v>10400.300278941946</v>
      </c>
      <c r="E35" s="158">
        <v>100</v>
      </c>
      <c r="F35" s="159">
        <v>73.14539980325182</v>
      </c>
      <c r="G35" s="159">
        <v>26.854600196750336</v>
      </c>
    </row>
    <row r="36" spans="1:7" s="19" customFormat="1" ht="14.1" customHeight="1" x14ac:dyDescent="0.25">
      <c r="A36" s="33" t="s">
        <v>46</v>
      </c>
      <c r="B36" s="34"/>
      <c r="C36" s="36" t="s">
        <v>19</v>
      </c>
      <c r="D36" s="157"/>
      <c r="E36" s="158"/>
      <c r="F36" s="159"/>
      <c r="G36" s="159"/>
    </row>
    <row r="37" spans="1:7" s="19" customFormat="1" ht="14.1" customHeight="1" x14ac:dyDescent="0.25">
      <c r="A37" s="37"/>
      <c r="B37" s="38" t="s">
        <v>47</v>
      </c>
      <c r="C37" s="35"/>
      <c r="D37" s="157">
        <v>16749.694852045657</v>
      </c>
      <c r="E37" s="158">
        <v>100</v>
      </c>
      <c r="F37" s="159">
        <v>77.328841157632468</v>
      </c>
      <c r="G37" s="159">
        <v>22.671158842367106</v>
      </c>
    </row>
    <row r="38" spans="1:7" s="19" customFormat="1" ht="14.1" customHeight="1" x14ac:dyDescent="0.25">
      <c r="A38" s="37"/>
      <c r="B38" s="38" t="s">
        <v>48</v>
      </c>
      <c r="C38" s="35"/>
      <c r="D38" s="157">
        <v>17486.305147954343</v>
      </c>
      <c r="E38" s="158">
        <v>100</v>
      </c>
      <c r="F38" s="159">
        <v>74.923419504644983</v>
      </c>
      <c r="G38" s="159">
        <v>25.076580495354953</v>
      </c>
    </row>
    <row r="39" spans="1:7" s="19" customFormat="1" ht="14.1" customHeight="1" x14ac:dyDescent="0.25">
      <c r="A39" s="33" t="s">
        <v>49</v>
      </c>
      <c r="B39" s="34"/>
      <c r="C39" s="36" t="s">
        <v>19</v>
      </c>
      <c r="D39" s="157"/>
      <c r="E39" s="158"/>
      <c r="F39" s="159"/>
      <c r="G39" s="159"/>
    </row>
    <row r="40" spans="1:7" s="19" customFormat="1" ht="14.1" customHeight="1" x14ac:dyDescent="0.25">
      <c r="A40" s="33"/>
      <c r="B40" s="38" t="s">
        <v>107</v>
      </c>
      <c r="C40" s="35"/>
      <c r="D40" s="157">
        <v>990.8974962064251</v>
      </c>
      <c r="E40" s="158">
        <v>100</v>
      </c>
      <c r="F40" s="159">
        <v>81.323574776392093</v>
      </c>
      <c r="G40" s="159">
        <v>18.67642522360789</v>
      </c>
    </row>
    <row r="41" spans="1:7" s="19" customFormat="1" ht="14.1" customHeight="1" x14ac:dyDescent="0.25">
      <c r="A41" s="37"/>
      <c r="B41" s="38" t="s">
        <v>108</v>
      </c>
      <c r="C41" s="35"/>
      <c r="D41" s="157">
        <v>687.19908966432342</v>
      </c>
      <c r="E41" s="158">
        <v>100</v>
      </c>
      <c r="F41" s="159">
        <v>66.299062652220314</v>
      </c>
      <c r="G41" s="159">
        <v>33.700937347779991</v>
      </c>
    </row>
    <row r="42" spans="1:7" s="19" customFormat="1" ht="14.1" customHeight="1" x14ac:dyDescent="0.25">
      <c r="A42" s="37"/>
      <c r="B42" s="38" t="s">
        <v>109</v>
      </c>
      <c r="C42" s="35"/>
      <c r="D42" s="157">
        <v>4595.9785250585546</v>
      </c>
      <c r="E42" s="158">
        <v>100</v>
      </c>
      <c r="F42" s="159">
        <v>79.474195931295014</v>
      </c>
      <c r="G42" s="159">
        <v>20.525804068705689</v>
      </c>
    </row>
    <row r="43" spans="1:7" s="19" customFormat="1" ht="14.1" customHeight="1" x14ac:dyDescent="0.25">
      <c r="A43" s="37"/>
      <c r="B43" s="38" t="s">
        <v>110</v>
      </c>
      <c r="C43" s="35"/>
      <c r="D43" s="157">
        <v>5316.0289939355107</v>
      </c>
      <c r="E43" s="158">
        <v>100</v>
      </c>
      <c r="F43" s="159">
        <v>85.382857884354991</v>
      </c>
      <c r="G43" s="159">
        <v>14.617142115644874</v>
      </c>
    </row>
    <row r="44" spans="1:7" s="19" customFormat="1" ht="14.1" customHeight="1" x14ac:dyDescent="0.25">
      <c r="A44" s="37"/>
      <c r="B44" s="38" t="s">
        <v>111</v>
      </c>
      <c r="C44" s="35"/>
      <c r="D44" s="157">
        <v>6474.5930995165245</v>
      </c>
      <c r="E44" s="158">
        <v>100</v>
      </c>
      <c r="F44" s="159">
        <v>85.011116370791044</v>
      </c>
      <c r="G44" s="159">
        <v>14.988883629209038</v>
      </c>
    </row>
    <row r="45" spans="1:7" s="19" customFormat="1" ht="14.1" customHeight="1" x14ac:dyDescent="0.25">
      <c r="A45" s="37"/>
      <c r="B45" s="38" t="s">
        <v>112</v>
      </c>
      <c r="C45" s="35"/>
      <c r="D45" s="157">
        <v>5835.4025813818816</v>
      </c>
      <c r="E45" s="158">
        <v>100</v>
      </c>
      <c r="F45" s="159">
        <v>81.08841541577651</v>
      </c>
      <c r="G45" s="159">
        <v>18.911584584222847</v>
      </c>
    </row>
    <row r="46" spans="1:7" s="19" customFormat="1" ht="14.1" customHeight="1" x14ac:dyDescent="0.25">
      <c r="A46" s="37"/>
      <c r="B46" s="38" t="s">
        <v>113</v>
      </c>
      <c r="C46" s="35"/>
      <c r="D46" s="157">
        <v>2922.424300885169</v>
      </c>
      <c r="E46" s="158">
        <v>100</v>
      </c>
      <c r="F46" s="159">
        <v>72.398859289390757</v>
      </c>
      <c r="G46" s="159">
        <v>27.60114071060892</v>
      </c>
    </row>
    <row r="47" spans="1:7" s="19" customFormat="1" ht="14.1" customHeight="1" x14ac:dyDescent="0.25">
      <c r="A47" s="37"/>
      <c r="B47" s="38" t="s">
        <v>114</v>
      </c>
      <c r="C47" s="35"/>
      <c r="D47" s="157">
        <v>7413.4759133515799</v>
      </c>
      <c r="E47" s="158">
        <v>100</v>
      </c>
      <c r="F47" s="159">
        <v>57.313023467540681</v>
      </c>
      <c r="G47" s="159">
        <v>42.686976532459994</v>
      </c>
    </row>
    <row r="48" spans="1:7" s="85" customFormat="1" ht="4.5" customHeight="1" x14ac:dyDescent="0.25">
      <c r="A48" s="39"/>
      <c r="B48" s="40"/>
      <c r="C48" s="41"/>
      <c r="D48" s="217"/>
      <c r="E48" s="218"/>
      <c r="F48" s="219"/>
      <c r="G48" s="219"/>
    </row>
    <row r="49" spans="1:7" s="19" customFormat="1" ht="15.95" customHeight="1" x14ac:dyDescent="0.25">
      <c r="A49" s="33" t="s">
        <v>50</v>
      </c>
      <c r="B49" s="34"/>
      <c r="C49" s="36" t="s">
        <v>19</v>
      </c>
      <c r="D49" s="157"/>
      <c r="E49" s="158"/>
      <c r="F49" s="159"/>
      <c r="G49" s="159"/>
    </row>
    <row r="50" spans="1:7" s="19" customFormat="1" ht="15.95" customHeight="1" x14ac:dyDescent="0.25">
      <c r="A50" s="37"/>
      <c r="B50" s="38" t="s">
        <v>3</v>
      </c>
      <c r="C50" s="35"/>
      <c r="D50" s="157">
        <v>3395.0961114952684</v>
      </c>
      <c r="E50" s="158">
        <v>100</v>
      </c>
      <c r="F50" s="159">
        <v>46.390878614759103</v>
      </c>
      <c r="G50" s="159">
        <v>53.609121385240627</v>
      </c>
    </row>
    <row r="51" spans="1:7" s="19" customFormat="1" ht="15.95" customHeight="1" x14ac:dyDescent="0.25">
      <c r="A51" s="37"/>
      <c r="B51" s="38" t="s">
        <v>115</v>
      </c>
      <c r="C51" s="35"/>
      <c r="D51" s="157">
        <v>3014.9642279020204</v>
      </c>
      <c r="E51" s="158">
        <v>100</v>
      </c>
      <c r="F51" s="159">
        <v>64.546915522923968</v>
      </c>
      <c r="G51" s="159">
        <v>35.453084477076409</v>
      </c>
    </row>
    <row r="52" spans="1:7" s="19" customFormat="1" ht="15.95" customHeight="1" x14ac:dyDescent="0.25">
      <c r="A52" s="37"/>
      <c r="B52" s="38" t="s">
        <v>116</v>
      </c>
      <c r="C52" s="35"/>
      <c r="D52" s="157">
        <v>9553.0689204173286</v>
      </c>
      <c r="E52" s="158">
        <v>100</v>
      </c>
      <c r="F52" s="159">
        <v>74.095366775316961</v>
      </c>
      <c r="G52" s="159">
        <v>25.904633224683874</v>
      </c>
    </row>
    <row r="53" spans="1:7" s="19" customFormat="1" ht="15.95" customHeight="1" x14ac:dyDescent="0.25">
      <c r="A53" s="37"/>
      <c r="B53" s="38" t="s">
        <v>51</v>
      </c>
      <c r="C53" s="35"/>
      <c r="D53" s="157">
        <v>3577.9049601334741</v>
      </c>
      <c r="E53" s="158">
        <v>100</v>
      </c>
      <c r="F53" s="159">
        <v>80.680743137410659</v>
      </c>
      <c r="G53" s="159">
        <v>19.319256862589501</v>
      </c>
    </row>
    <row r="54" spans="1:7" s="19" customFormat="1" ht="15.95" customHeight="1" x14ac:dyDescent="0.25">
      <c r="A54" s="37"/>
      <c r="B54" s="38" t="s">
        <v>52</v>
      </c>
      <c r="C54" s="35"/>
      <c r="D54" s="157">
        <v>11326.63878201431</v>
      </c>
      <c r="E54" s="158">
        <v>100</v>
      </c>
      <c r="F54" s="159">
        <v>84.011480400294744</v>
      </c>
      <c r="G54" s="159">
        <v>15.988519599704393</v>
      </c>
    </row>
    <row r="55" spans="1:7" s="19" customFormat="1" ht="15.95" customHeight="1" x14ac:dyDescent="0.25">
      <c r="A55" s="37"/>
      <c r="B55" s="38" t="s">
        <v>4</v>
      </c>
      <c r="C55" s="35"/>
      <c r="D55" s="157">
        <v>3288.1950600220534</v>
      </c>
      <c r="E55" s="158">
        <v>100</v>
      </c>
      <c r="F55" s="159">
        <v>91.951081489307271</v>
      </c>
      <c r="G55" s="159">
        <v>8.0489185106927579</v>
      </c>
    </row>
    <row r="56" spans="1:7" s="19" customFormat="1" ht="15.95" customHeight="1" x14ac:dyDescent="0.25">
      <c r="A56" s="37"/>
      <c r="B56" s="38" t="s">
        <v>117</v>
      </c>
      <c r="C56" s="35"/>
      <c r="D56" s="157">
        <v>80.131938015518415</v>
      </c>
      <c r="E56" s="158">
        <v>100</v>
      </c>
      <c r="F56" s="159">
        <v>35.356382141165078</v>
      </c>
      <c r="G56" s="159">
        <v>64.643617858834972</v>
      </c>
    </row>
    <row r="57" spans="1:7" s="19" customFormat="1" ht="15.95" customHeight="1" x14ac:dyDescent="0.25">
      <c r="A57" s="33" t="s">
        <v>53</v>
      </c>
      <c r="B57" s="34"/>
      <c r="C57" s="36" t="s">
        <v>19</v>
      </c>
      <c r="D57" s="157"/>
      <c r="E57" s="158"/>
      <c r="F57" s="159"/>
      <c r="G57" s="159"/>
    </row>
    <row r="58" spans="1:7" s="19" customFormat="1" ht="15.95" customHeight="1" x14ac:dyDescent="0.25">
      <c r="A58" s="37"/>
      <c r="B58" s="38" t="s">
        <v>54</v>
      </c>
      <c r="C58" s="35"/>
      <c r="D58" s="157">
        <v>858.63851625481266</v>
      </c>
      <c r="E58" s="158">
        <v>100</v>
      </c>
      <c r="F58" s="159">
        <v>75.687847963850913</v>
      </c>
      <c r="G58" s="159">
        <v>24.312152036149062</v>
      </c>
    </row>
    <row r="59" spans="1:7" s="19" customFormat="1" ht="15.95" customHeight="1" x14ac:dyDescent="0.25">
      <c r="A59" s="37"/>
      <c r="B59" s="38" t="s">
        <v>55</v>
      </c>
      <c r="C59" s="35"/>
      <c r="D59" s="157">
        <v>6378.5061167558224</v>
      </c>
      <c r="E59" s="158">
        <v>100</v>
      </c>
      <c r="F59" s="159">
        <v>91.394445465993414</v>
      </c>
      <c r="G59" s="159">
        <v>8.6055545340064441</v>
      </c>
    </row>
    <row r="60" spans="1:7" s="19" customFormat="1" ht="15.95" customHeight="1" x14ac:dyDescent="0.25">
      <c r="A60" s="37"/>
      <c r="B60" s="38" t="s">
        <v>211</v>
      </c>
      <c r="C60" s="35"/>
      <c r="D60" s="157">
        <v>1425.9672604111859</v>
      </c>
      <c r="E60" s="158">
        <v>100</v>
      </c>
      <c r="F60" s="159">
        <v>84.45885989317101</v>
      </c>
      <c r="G60" s="159">
        <v>15.541140106829053</v>
      </c>
    </row>
    <row r="61" spans="1:7" s="19" customFormat="1" ht="15.95" customHeight="1" x14ac:dyDescent="0.25">
      <c r="A61" s="37"/>
      <c r="B61" s="38" t="s">
        <v>212</v>
      </c>
      <c r="C61" s="35"/>
      <c r="D61" s="157">
        <v>947.64890151683073</v>
      </c>
      <c r="E61" s="158">
        <v>100</v>
      </c>
      <c r="F61" s="159">
        <v>80.778921797357384</v>
      </c>
      <c r="G61" s="159">
        <v>19.221078202642623</v>
      </c>
    </row>
    <row r="62" spans="1:7" s="19" customFormat="1" ht="15.95" customHeight="1" x14ac:dyDescent="0.25">
      <c r="A62" s="37"/>
      <c r="B62" s="38" t="s">
        <v>56</v>
      </c>
      <c r="C62" s="35"/>
      <c r="D62" s="157">
        <v>9521.6254962825114</v>
      </c>
      <c r="E62" s="158">
        <v>100</v>
      </c>
      <c r="F62" s="159">
        <v>85.718441910234162</v>
      </c>
      <c r="G62" s="159">
        <v>14.28155808976574</v>
      </c>
    </row>
    <row r="63" spans="1:7" s="19" customFormat="1" ht="15.95" customHeight="1" x14ac:dyDescent="0.25">
      <c r="A63" s="37"/>
      <c r="B63" s="38" t="s">
        <v>57</v>
      </c>
      <c r="C63" s="35"/>
      <c r="D63" s="157">
        <v>1722.5891299982352</v>
      </c>
      <c r="E63" s="158">
        <v>100</v>
      </c>
      <c r="F63" s="159">
        <v>87.968358915581135</v>
      </c>
      <c r="G63" s="159">
        <v>12.031641084418766</v>
      </c>
    </row>
    <row r="64" spans="1:7" s="19" customFormat="1" ht="15.95" customHeight="1" x14ac:dyDescent="0.25">
      <c r="A64" s="37"/>
      <c r="B64" s="38" t="s">
        <v>204</v>
      </c>
      <c r="C64" s="35"/>
      <c r="D64" s="157">
        <v>83.971673267093962</v>
      </c>
      <c r="E64" s="158">
        <v>100</v>
      </c>
      <c r="F64" s="159">
        <v>80.116893880097678</v>
      </c>
      <c r="G64" s="159">
        <v>19.883106119902315</v>
      </c>
    </row>
    <row r="65" spans="1:7" s="19" customFormat="1" ht="15.95" customHeight="1" x14ac:dyDescent="0.25">
      <c r="A65" s="37"/>
      <c r="B65" s="38" t="s">
        <v>58</v>
      </c>
      <c r="C65" s="35"/>
      <c r="D65" s="157">
        <v>3838.7869642482669</v>
      </c>
      <c r="E65" s="158">
        <v>100</v>
      </c>
      <c r="F65" s="159">
        <v>58.428407096898198</v>
      </c>
      <c r="G65" s="159">
        <v>41.571592903102015</v>
      </c>
    </row>
    <row r="66" spans="1:7" s="19" customFormat="1" ht="15.95" customHeight="1" x14ac:dyDescent="0.25">
      <c r="A66" s="37"/>
      <c r="B66" s="38" t="s">
        <v>59</v>
      </c>
      <c r="C66" s="35"/>
      <c r="D66" s="157">
        <v>5782.2650174970122</v>
      </c>
      <c r="E66" s="158">
        <v>100</v>
      </c>
      <c r="F66" s="159">
        <v>58.226486648571843</v>
      </c>
      <c r="G66" s="159">
        <v>41.77351335142869</v>
      </c>
    </row>
    <row r="67" spans="1:7" s="19" customFormat="1" ht="15.95" customHeight="1" x14ac:dyDescent="0.25">
      <c r="A67" s="37"/>
      <c r="B67" s="38" t="s">
        <v>61</v>
      </c>
      <c r="C67" s="35"/>
      <c r="D67" s="157">
        <v>1911.4783661531592</v>
      </c>
      <c r="E67" s="158">
        <v>100</v>
      </c>
      <c r="F67" s="159">
        <v>78.28721198093092</v>
      </c>
      <c r="G67" s="159">
        <v>21.712788019069087</v>
      </c>
    </row>
    <row r="68" spans="1:7" s="19" customFormat="1" ht="15.95" customHeight="1" x14ac:dyDescent="0.25">
      <c r="A68" s="37"/>
      <c r="B68" s="38" t="s">
        <v>60</v>
      </c>
      <c r="C68" s="35"/>
      <c r="D68" s="157">
        <v>1692.5751595513027</v>
      </c>
      <c r="E68" s="158">
        <v>100</v>
      </c>
      <c r="F68" s="159">
        <v>41.723613709704942</v>
      </c>
      <c r="G68" s="159">
        <v>58.276386290294788</v>
      </c>
    </row>
    <row r="69" spans="1:7" s="19" customFormat="1" ht="15.95" customHeight="1" x14ac:dyDescent="0.25">
      <c r="A69" s="37"/>
      <c r="B69" s="38" t="s">
        <v>117</v>
      </c>
      <c r="C69" s="35"/>
      <c r="D69" s="157">
        <v>71.947398063652201</v>
      </c>
      <c r="E69" s="158">
        <v>100</v>
      </c>
      <c r="F69" s="159">
        <v>66.082630885019469</v>
      </c>
      <c r="G69" s="159">
        <v>33.91736911498058</v>
      </c>
    </row>
    <row r="70" spans="1:7" s="19" customFormat="1" ht="15.95" customHeight="1" x14ac:dyDescent="0.25">
      <c r="A70" s="63"/>
      <c r="B70" s="64"/>
      <c r="C70" s="142"/>
      <c r="D70" s="220"/>
      <c r="E70" s="221"/>
      <c r="F70" s="222"/>
      <c r="G70" s="222"/>
    </row>
    <row r="71" spans="1:7" s="19" customFormat="1" ht="15.95" customHeight="1" x14ac:dyDescent="0.25">
      <c r="A71" s="30"/>
      <c r="B71" s="70"/>
      <c r="C71" s="143"/>
      <c r="D71" s="223"/>
      <c r="E71" s="224"/>
      <c r="F71" s="225"/>
      <c r="G71" s="225"/>
    </row>
    <row r="72" spans="1:7" s="19" customFormat="1" ht="15.95" customHeight="1" x14ac:dyDescent="0.25">
      <c r="A72" s="33" t="s">
        <v>62</v>
      </c>
      <c r="B72" s="34"/>
      <c r="C72" s="36" t="s">
        <v>19</v>
      </c>
      <c r="D72" s="157"/>
      <c r="E72" s="158"/>
      <c r="F72" s="159"/>
      <c r="G72" s="159"/>
    </row>
    <row r="73" spans="1:7" s="19" customFormat="1" ht="15.95" customHeight="1" x14ac:dyDescent="0.25">
      <c r="A73" s="37"/>
      <c r="B73" s="38" t="s">
        <v>129</v>
      </c>
      <c r="C73" s="35"/>
      <c r="D73" s="157">
        <v>24970.999999998672</v>
      </c>
      <c r="E73" s="158">
        <v>100</v>
      </c>
      <c r="F73" s="159">
        <v>74.811466868796316</v>
      </c>
      <c r="G73" s="159">
        <v>25.18853313120427</v>
      </c>
    </row>
    <row r="74" spans="1:7" s="19" customFormat="1" ht="15.95" customHeight="1" x14ac:dyDescent="0.25">
      <c r="A74" s="37"/>
      <c r="B74" s="38" t="s">
        <v>130</v>
      </c>
      <c r="C74" s="35"/>
      <c r="D74" s="157">
        <v>38732.999999999141</v>
      </c>
      <c r="E74" s="158">
        <v>100</v>
      </c>
      <c r="F74" s="159">
        <v>78.036080587677162</v>
      </c>
      <c r="G74" s="159">
        <v>21.963919412323566</v>
      </c>
    </row>
    <row r="75" spans="1:7" s="19" customFormat="1" ht="15.95" customHeight="1" x14ac:dyDescent="0.25">
      <c r="A75" s="37"/>
      <c r="B75" s="38" t="s">
        <v>131</v>
      </c>
      <c r="C75" s="35"/>
      <c r="D75" s="157">
        <v>39899.999999999993</v>
      </c>
      <c r="E75" s="158">
        <v>100</v>
      </c>
      <c r="F75" s="159">
        <v>74.868881218205757</v>
      </c>
      <c r="G75" s="159">
        <v>25.131118781793006</v>
      </c>
    </row>
    <row r="76" spans="1:7" s="19" customFormat="1" ht="15.95" customHeight="1" x14ac:dyDescent="0.25">
      <c r="A76" s="37"/>
      <c r="B76" s="38" t="s">
        <v>132</v>
      </c>
      <c r="C76" s="35"/>
      <c r="D76" s="157">
        <v>39907.000000000378</v>
      </c>
      <c r="E76" s="158">
        <v>100</v>
      </c>
      <c r="F76" s="159">
        <v>76.258599352427126</v>
      </c>
      <c r="G76" s="159">
        <v>23.741400647570686</v>
      </c>
    </row>
    <row r="77" spans="1:7" s="19" customFormat="1" ht="15.95" customHeight="1" x14ac:dyDescent="0.25">
      <c r="A77" s="37"/>
      <c r="B77" s="38" t="s">
        <v>133</v>
      </c>
      <c r="C77" s="35"/>
      <c r="D77" s="157">
        <v>38267.999999998843</v>
      </c>
      <c r="E77" s="158">
        <v>100</v>
      </c>
      <c r="F77" s="159">
        <v>76.819331908667877</v>
      </c>
      <c r="G77" s="159">
        <v>23.180668091333512</v>
      </c>
    </row>
    <row r="78" spans="1:7" s="19" customFormat="1" ht="15.95" customHeight="1" x14ac:dyDescent="0.25">
      <c r="A78" s="37"/>
      <c r="B78" s="38" t="s">
        <v>134</v>
      </c>
      <c r="C78" s="35"/>
      <c r="D78" s="157">
        <v>38272.999999999243</v>
      </c>
      <c r="E78" s="158">
        <v>100</v>
      </c>
      <c r="F78" s="159">
        <v>77.459718174273533</v>
      </c>
      <c r="G78" s="159">
        <v>22.540281825727362</v>
      </c>
    </row>
    <row r="79" spans="1:7" s="19" customFormat="1" ht="15.95" customHeight="1" x14ac:dyDescent="0.25">
      <c r="A79" s="37"/>
      <c r="B79" s="38" t="s">
        <v>135</v>
      </c>
      <c r="C79" s="35"/>
      <c r="D79" s="157">
        <v>39101.00000000195</v>
      </c>
      <c r="E79" s="158">
        <v>100</v>
      </c>
      <c r="F79" s="159">
        <v>75.719707186316924</v>
      </c>
      <c r="G79" s="159">
        <v>24.280292813682443</v>
      </c>
    </row>
    <row r="80" spans="1:7" s="19" customFormat="1" ht="15.95" customHeight="1" x14ac:dyDescent="0.25">
      <c r="A80" s="37"/>
      <c r="B80" s="38" t="s">
        <v>136</v>
      </c>
      <c r="C80" s="35"/>
      <c r="D80" s="157">
        <v>40246.000000000146</v>
      </c>
      <c r="E80" s="158">
        <v>100</v>
      </c>
      <c r="F80" s="159">
        <v>75.885926250486534</v>
      </c>
      <c r="G80" s="159">
        <v>24.114073749513324</v>
      </c>
    </row>
    <row r="81" spans="1:7" s="19" customFormat="1" ht="15.95" customHeight="1" x14ac:dyDescent="0.25">
      <c r="A81" s="37"/>
      <c r="B81" s="38" t="s">
        <v>192</v>
      </c>
      <c r="C81" s="35"/>
      <c r="D81" s="157">
        <v>37337.000000000378</v>
      </c>
      <c r="E81" s="158">
        <v>100</v>
      </c>
      <c r="F81" s="159">
        <v>76.21592578877268</v>
      </c>
      <c r="G81" s="159">
        <v>23.784074211224794</v>
      </c>
    </row>
    <row r="82" spans="1:7" s="19" customFormat="1" ht="15.95" customHeight="1" x14ac:dyDescent="0.25">
      <c r="A82" s="37"/>
      <c r="B82" s="38" t="s">
        <v>194</v>
      </c>
      <c r="C82" s="35"/>
      <c r="D82" s="157">
        <v>37791.999999974512</v>
      </c>
      <c r="E82" s="158">
        <v>100</v>
      </c>
      <c r="F82" s="159">
        <v>73.357275106626531</v>
      </c>
      <c r="G82" s="159">
        <v>26.642724893374499</v>
      </c>
    </row>
    <row r="83" spans="1:7" s="19" customFormat="1" ht="15.95" customHeight="1" x14ac:dyDescent="0.25">
      <c r="A83" s="37"/>
      <c r="B83" s="38" t="s">
        <v>205</v>
      </c>
      <c r="C83" s="35"/>
      <c r="D83" s="157">
        <f>D$9</f>
        <v>34236.000000002343</v>
      </c>
      <c r="E83" s="158">
        <f>E$9</f>
        <v>100</v>
      </c>
      <c r="F83" s="159">
        <f>F$9</f>
        <v>76.100253208287668</v>
      </c>
      <c r="G83" s="159">
        <f>G$9</f>
        <v>23.899746791706477</v>
      </c>
    </row>
    <row r="84" spans="1:7" s="19" customFormat="1" ht="6" customHeight="1" x14ac:dyDescent="0.25">
      <c r="A84" s="39"/>
      <c r="B84" s="85"/>
      <c r="C84" s="41"/>
      <c r="D84" s="170"/>
      <c r="E84" s="83"/>
      <c r="F84" s="84"/>
      <c r="G84" s="84"/>
    </row>
  </sheetData>
  <mergeCells count="8">
    <mergeCell ref="A1:G1"/>
    <mergeCell ref="A3:G3"/>
    <mergeCell ref="A5:C7"/>
    <mergeCell ref="E5:E7"/>
    <mergeCell ref="F6:F7"/>
    <mergeCell ref="G6:G7"/>
    <mergeCell ref="A2:G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0" orientation="portrait" r:id="rId1"/>
  <headerFooter alignWithMargins="0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A5B8-B085-4AE7-B2A6-223B1AA9DE6E}">
  <sheetPr codeName="工作表16"/>
  <dimension ref="A1:K99"/>
  <sheetViews>
    <sheetView showGridLines="0" view="pageBreakPreview" zoomScale="70" zoomScaleNormal="100" zoomScaleSheetLayoutView="70" workbookViewId="0">
      <selection sqref="A1:K1"/>
    </sheetView>
  </sheetViews>
  <sheetFormatPr defaultColWidth="9" defaultRowHeight="11.1" customHeight="1" x14ac:dyDescent="0.25"/>
  <cols>
    <col min="1" max="1" width="1.375" style="18" customWidth="1"/>
    <col min="2" max="2" width="14.875" style="44" customWidth="1"/>
    <col min="3" max="3" width="2.125" style="45" customWidth="1"/>
    <col min="4" max="4" width="8.125" style="46" customWidth="1"/>
    <col min="5" max="11" width="8.125" style="47" customWidth="1"/>
    <col min="12" max="16384" width="9" style="46"/>
  </cols>
  <sheetData>
    <row r="1" spans="1:11" s="14" customFormat="1" ht="21.75" customHeight="1" x14ac:dyDescent="0.25">
      <c r="A1" s="255" t="s">
        <v>254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spans="1:11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</row>
    <row r="3" spans="1:11" s="19" customFormat="1" ht="13.5" customHeight="1" x14ac:dyDescent="0.25">
      <c r="A3" s="257" t="s">
        <v>101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1" s="28" customFormat="1" ht="13.5" x14ac:dyDescent="0.25">
      <c r="A4" s="24"/>
      <c r="B4" s="24"/>
      <c r="C4" s="24"/>
      <c r="D4" s="25"/>
      <c r="E4" s="26"/>
      <c r="F4" s="26"/>
      <c r="G4" s="75"/>
      <c r="H4" s="75"/>
      <c r="I4" s="75"/>
      <c r="J4" s="75"/>
      <c r="K4" s="76" t="s">
        <v>176</v>
      </c>
    </row>
    <row r="5" spans="1:11" s="19" customFormat="1" ht="7.5" customHeight="1" x14ac:dyDescent="0.25">
      <c r="A5" s="258" t="s">
        <v>21</v>
      </c>
      <c r="B5" s="258"/>
      <c r="C5" s="259"/>
      <c r="D5" s="259" t="s">
        <v>311</v>
      </c>
      <c r="E5" s="264" t="s">
        <v>81</v>
      </c>
      <c r="F5" s="51"/>
      <c r="G5" s="51"/>
      <c r="H5" s="51"/>
      <c r="I5" s="51"/>
      <c r="J5" s="51"/>
      <c r="K5" s="51"/>
    </row>
    <row r="6" spans="1:11" s="19" customFormat="1" ht="15.75" customHeight="1" x14ac:dyDescent="0.25">
      <c r="A6" s="260"/>
      <c r="B6" s="260"/>
      <c r="C6" s="261"/>
      <c r="D6" s="261"/>
      <c r="E6" s="265"/>
      <c r="F6" s="267" t="s">
        <v>73</v>
      </c>
      <c r="G6" s="267" t="s">
        <v>74</v>
      </c>
      <c r="H6" s="267" t="s">
        <v>122</v>
      </c>
      <c r="I6" s="267" t="s">
        <v>76</v>
      </c>
      <c r="J6" s="270" t="s">
        <v>87</v>
      </c>
      <c r="K6" s="269" t="s">
        <v>10</v>
      </c>
    </row>
    <row r="7" spans="1:11" s="19" customFormat="1" ht="31.5" customHeight="1" x14ac:dyDescent="0.25">
      <c r="A7" s="262"/>
      <c r="B7" s="262"/>
      <c r="C7" s="263"/>
      <c r="D7" s="263"/>
      <c r="E7" s="266"/>
      <c r="F7" s="268"/>
      <c r="G7" s="268"/>
      <c r="H7" s="268"/>
      <c r="I7" s="268"/>
      <c r="J7" s="271"/>
      <c r="K7" s="266"/>
    </row>
    <row r="8" spans="1:11" s="19" customFormat="1" ht="4.5" customHeight="1" x14ac:dyDescent="0.25">
      <c r="A8" s="30"/>
      <c r="B8" s="31"/>
      <c r="C8" s="77"/>
      <c r="D8" s="77"/>
      <c r="E8" s="80"/>
      <c r="F8" s="81"/>
      <c r="G8" s="81"/>
      <c r="H8" s="81"/>
      <c r="I8" s="81"/>
      <c r="J8" s="81"/>
      <c r="K8" s="81"/>
    </row>
    <row r="9" spans="1:11" s="19" customFormat="1" ht="14.1" customHeight="1" x14ac:dyDescent="0.25">
      <c r="A9" s="33" t="s">
        <v>22</v>
      </c>
      <c r="B9" s="34"/>
      <c r="C9" s="36"/>
      <c r="D9" s="209">
        <v>64959.853079497778</v>
      </c>
      <c r="E9" s="57">
        <v>100</v>
      </c>
      <c r="F9" s="58">
        <v>44.892083341108687</v>
      </c>
      <c r="G9" s="58">
        <v>4.5408001345506674</v>
      </c>
      <c r="H9" s="58">
        <v>4.7431810861583239</v>
      </c>
      <c r="I9" s="58">
        <v>17.073622556823693</v>
      </c>
      <c r="J9" s="58">
        <v>16.84085164945504</v>
      </c>
      <c r="K9" s="58">
        <v>11.909461231898081</v>
      </c>
    </row>
    <row r="10" spans="1:11" s="19" customFormat="1" ht="14.1" customHeight="1" x14ac:dyDescent="0.25">
      <c r="A10" s="37" t="s">
        <v>23</v>
      </c>
      <c r="B10" s="38"/>
      <c r="C10" s="36" t="s">
        <v>19</v>
      </c>
      <c r="D10" s="210"/>
      <c r="E10" s="61"/>
      <c r="F10" s="62"/>
      <c r="G10" s="62"/>
      <c r="H10" s="62"/>
      <c r="I10" s="62"/>
      <c r="J10" s="62"/>
      <c r="K10" s="62"/>
    </row>
    <row r="11" spans="1:11" s="19" customFormat="1" ht="14.1" customHeight="1" x14ac:dyDescent="0.25">
      <c r="A11" s="37"/>
      <c r="B11" s="38" t="s">
        <v>24</v>
      </c>
      <c r="C11" s="36"/>
      <c r="D11" s="210">
        <v>10221.054361665063</v>
      </c>
      <c r="E11" s="61">
        <v>100</v>
      </c>
      <c r="F11" s="62">
        <v>53.398180724825984</v>
      </c>
      <c r="G11" s="62">
        <v>4.3919525054072883</v>
      </c>
      <c r="H11" s="62">
        <v>4.6358278770988086</v>
      </c>
      <c r="I11" s="62">
        <v>12.902007957760883</v>
      </c>
      <c r="J11" s="62">
        <v>15.62832515393924</v>
      </c>
      <c r="K11" s="62">
        <v>9.0437057809679491</v>
      </c>
    </row>
    <row r="12" spans="1:11" s="19" customFormat="1" ht="14.1" customHeight="1" x14ac:dyDescent="0.25">
      <c r="A12" s="37"/>
      <c r="B12" s="38" t="s">
        <v>25</v>
      </c>
      <c r="C12" s="36"/>
      <c r="D12" s="210">
        <v>6709.0416269349325</v>
      </c>
      <c r="E12" s="61">
        <v>100</v>
      </c>
      <c r="F12" s="62">
        <v>44.228144012720826</v>
      </c>
      <c r="G12" s="62">
        <v>5.2311899693212238</v>
      </c>
      <c r="H12" s="62">
        <v>6.0583305726675896</v>
      </c>
      <c r="I12" s="62">
        <v>14.267576547433897</v>
      </c>
      <c r="J12" s="62">
        <v>16.808786388638072</v>
      </c>
      <c r="K12" s="62">
        <v>13.405972509218461</v>
      </c>
    </row>
    <row r="13" spans="1:11" s="19" customFormat="1" ht="14.1" customHeight="1" x14ac:dyDescent="0.25">
      <c r="A13" s="37"/>
      <c r="B13" s="38" t="s">
        <v>26</v>
      </c>
      <c r="C13" s="36"/>
      <c r="D13" s="210">
        <v>6710.1983141957753</v>
      </c>
      <c r="E13" s="61">
        <v>100</v>
      </c>
      <c r="F13" s="62">
        <v>47.128764683958359</v>
      </c>
      <c r="G13" s="62">
        <v>4.7613296223217469</v>
      </c>
      <c r="H13" s="62">
        <v>3.4215061277404719</v>
      </c>
      <c r="I13" s="62">
        <v>16.046895265471914</v>
      </c>
      <c r="J13" s="62">
        <v>16.585331164837822</v>
      </c>
      <c r="K13" s="62">
        <v>12.056173135669818</v>
      </c>
    </row>
    <row r="14" spans="1:11" s="19" customFormat="1" ht="14.1" customHeight="1" x14ac:dyDescent="0.25">
      <c r="A14" s="37"/>
      <c r="B14" s="38" t="s">
        <v>27</v>
      </c>
      <c r="C14" s="36"/>
      <c r="D14" s="210">
        <v>7037.8419531634063</v>
      </c>
      <c r="E14" s="61">
        <v>100</v>
      </c>
      <c r="F14" s="62">
        <v>48.74065214484056</v>
      </c>
      <c r="G14" s="62">
        <v>5.0524951617121472</v>
      </c>
      <c r="H14" s="62">
        <v>6.5334195118010161</v>
      </c>
      <c r="I14" s="62">
        <v>15.066333378119079</v>
      </c>
      <c r="J14" s="62">
        <v>13.594355503163682</v>
      </c>
      <c r="K14" s="62">
        <v>11.0127443003634</v>
      </c>
    </row>
    <row r="15" spans="1:11" s="19" customFormat="1" ht="14.1" customHeight="1" x14ac:dyDescent="0.25">
      <c r="A15" s="37"/>
      <c r="B15" s="38" t="s">
        <v>28</v>
      </c>
      <c r="C15" s="36"/>
      <c r="D15" s="210">
        <v>5905.217535680903</v>
      </c>
      <c r="E15" s="61">
        <v>100</v>
      </c>
      <c r="F15" s="62">
        <v>41.004150603254082</v>
      </c>
      <c r="G15" s="62">
        <v>4.4685703241035668</v>
      </c>
      <c r="H15" s="62">
        <v>4.0023649849362304</v>
      </c>
      <c r="I15" s="62">
        <v>20.801596745891892</v>
      </c>
      <c r="J15" s="62">
        <v>16.127455579474827</v>
      </c>
      <c r="K15" s="62">
        <v>13.595861762339105</v>
      </c>
    </row>
    <row r="16" spans="1:11" s="19" customFormat="1" ht="14.1" customHeight="1" x14ac:dyDescent="0.25">
      <c r="A16" s="37"/>
      <c r="B16" s="38" t="s">
        <v>29</v>
      </c>
      <c r="C16" s="36"/>
      <c r="D16" s="210">
        <v>8427.3613606957624</v>
      </c>
      <c r="E16" s="61">
        <v>100</v>
      </c>
      <c r="F16" s="62">
        <v>40.532969482938725</v>
      </c>
      <c r="G16" s="62">
        <v>4.2459865969497734</v>
      </c>
      <c r="H16" s="62">
        <v>4.4257470081789041</v>
      </c>
      <c r="I16" s="62">
        <v>20.254912935610701</v>
      </c>
      <c r="J16" s="62">
        <v>18.036604611893605</v>
      </c>
      <c r="K16" s="62">
        <v>12.503779364428519</v>
      </c>
    </row>
    <row r="17" spans="1:11" s="19" customFormat="1" ht="14.1" customHeight="1" x14ac:dyDescent="0.25">
      <c r="A17" s="37"/>
      <c r="B17" s="38" t="s">
        <v>30</v>
      </c>
      <c r="C17" s="36"/>
      <c r="D17" s="210">
        <v>1393.9731726661441</v>
      </c>
      <c r="E17" s="61">
        <v>100</v>
      </c>
      <c r="F17" s="62">
        <v>37.250619882373854</v>
      </c>
      <c r="G17" s="62">
        <v>3.231906377366375</v>
      </c>
      <c r="H17" s="62">
        <v>3.9314723823459401</v>
      </c>
      <c r="I17" s="62">
        <v>18.080081289865337</v>
      </c>
      <c r="J17" s="62">
        <v>22.826184343535779</v>
      </c>
      <c r="K17" s="62">
        <v>14.679735724513732</v>
      </c>
    </row>
    <row r="18" spans="1:11" s="19" customFormat="1" ht="14.1" customHeight="1" x14ac:dyDescent="0.25">
      <c r="A18" s="37"/>
      <c r="B18" s="38" t="s">
        <v>31</v>
      </c>
      <c r="C18" s="36"/>
      <c r="D18" s="210">
        <v>1667.8871299640866</v>
      </c>
      <c r="E18" s="61">
        <v>100</v>
      </c>
      <c r="F18" s="62">
        <v>48.044024767005304</v>
      </c>
      <c r="G18" s="62">
        <v>5.397134517993047</v>
      </c>
      <c r="H18" s="62">
        <v>3.6465065202177822</v>
      </c>
      <c r="I18" s="62">
        <v>16.771194915396741</v>
      </c>
      <c r="J18" s="62">
        <v>15.892294604360455</v>
      </c>
      <c r="K18" s="62">
        <v>10.24884467502539</v>
      </c>
    </row>
    <row r="19" spans="1:11" s="19" customFormat="1" ht="14.1" customHeight="1" x14ac:dyDescent="0.25">
      <c r="A19" s="37"/>
      <c r="B19" s="38" t="s">
        <v>32</v>
      </c>
      <c r="C19" s="36"/>
      <c r="D19" s="210">
        <v>1563.9616450668389</v>
      </c>
      <c r="E19" s="61">
        <v>100</v>
      </c>
      <c r="F19" s="62">
        <v>38.687869423430023</v>
      </c>
      <c r="G19" s="62">
        <v>4.4074805080251682</v>
      </c>
      <c r="H19" s="62">
        <v>4.583813085440914</v>
      </c>
      <c r="I19" s="62">
        <v>20.840000052487962</v>
      </c>
      <c r="J19" s="62">
        <v>19.793084055815193</v>
      </c>
      <c r="K19" s="62">
        <v>11.687752874800703</v>
      </c>
    </row>
    <row r="20" spans="1:11" s="19" customFormat="1" ht="14.1" customHeight="1" x14ac:dyDescent="0.25">
      <c r="A20" s="37"/>
      <c r="B20" s="38" t="s">
        <v>33</v>
      </c>
      <c r="C20" s="36"/>
      <c r="D20" s="210">
        <v>2955.3726000839661</v>
      </c>
      <c r="E20" s="61">
        <v>100</v>
      </c>
      <c r="F20" s="62">
        <v>53.308746095459689</v>
      </c>
      <c r="G20" s="62">
        <v>4.6792075321862194</v>
      </c>
      <c r="H20" s="62">
        <v>4.4291392564578196</v>
      </c>
      <c r="I20" s="62">
        <v>16.000215927768718</v>
      </c>
      <c r="J20" s="62">
        <v>12.530399789933464</v>
      </c>
      <c r="K20" s="62">
        <v>9.0522913981936277</v>
      </c>
    </row>
    <row r="21" spans="1:11" s="19" customFormat="1" ht="14.1" customHeight="1" x14ac:dyDescent="0.25">
      <c r="A21" s="37"/>
      <c r="B21" s="38" t="s">
        <v>34</v>
      </c>
      <c r="C21" s="36"/>
      <c r="D21" s="210">
        <v>1463.8493177621353</v>
      </c>
      <c r="E21" s="61">
        <v>100</v>
      </c>
      <c r="F21" s="62">
        <v>37.975782118701417</v>
      </c>
      <c r="G21" s="62">
        <v>2.5707704117872985</v>
      </c>
      <c r="H21" s="62">
        <v>4.0241504153795224</v>
      </c>
      <c r="I21" s="62">
        <v>20.691096376985129</v>
      </c>
      <c r="J21" s="62">
        <v>19.07388264248053</v>
      </c>
      <c r="K21" s="62">
        <v>15.664318034664689</v>
      </c>
    </row>
    <row r="22" spans="1:11" s="19" customFormat="1" ht="14.1" customHeight="1" x14ac:dyDescent="0.25">
      <c r="A22" s="37"/>
      <c r="B22" s="38" t="s">
        <v>35</v>
      </c>
      <c r="C22" s="36"/>
      <c r="D22" s="210">
        <v>2000.5110838908463</v>
      </c>
      <c r="E22" s="61">
        <v>100</v>
      </c>
      <c r="F22" s="62">
        <v>36.798895220110438</v>
      </c>
      <c r="G22" s="62">
        <v>5.0593493511578531</v>
      </c>
      <c r="H22" s="62">
        <v>4.4109630650904892</v>
      </c>
      <c r="I22" s="62">
        <v>19.706942096859851</v>
      </c>
      <c r="J22" s="62">
        <v>18.988156839681132</v>
      </c>
      <c r="K22" s="62">
        <v>15.03569342710056</v>
      </c>
    </row>
    <row r="23" spans="1:11" s="19" customFormat="1" ht="14.1" customHeight="1" x14ac:dyDescent="0.25">
      <c r="A23" s="37"/>
      <c r="B23" s="38" t="s">
        <v>36</v>
      </c>
      <c r="C23" s="36"/>
      <c r="D23" s="210">
        <v>1366.4926183632108</v>
      </c>
      <c r="E23" s="61">
        <v>100</v>
      </c>
      <c r="F23" s="62">
        <v>41.08822826402448</v>
      </c>
      <c r="G23" s="62">
        <v>1.802387526507732</v>
      </c>
      <c r="H23" s="62">
        <v>4.8313125099702301</v>
      </c>
      <c r="I23" s="62">
        <v>21.843808734121414</v>
      </c>
      <c r="J23" s="62">
        <v>17.203306927460751</v>
      </c>
      <c r="K23" s="62">
        <v>13.230956037915176</v>
      </c>
    </row>
    <row r="24" spans="1:11" s="19" customFormat="1" ht="14.1" customHeight="1" x14ac:dyDescent="0.25">
      <c r="A24" s="37"/>
      <c r="B24" s="38" t="s">
        <v>37</v>
      </c>
      <c r="C24" s="36"/>
      <c r="D24" s="210">
        <v>1907.1762162940042</v>
      </c>
      <c r="E24" s="61">
        <v>100</v>
      </c>
      <c r="F24" s="62">
        <v>44.122049576407164</v>
      </c>
      <c r="G24" s="62">
        <v>4.902080444798667</v>
      </c>
      <c r="H24" s="62">
        <v>5.3771216765566558</v>
      </c>
      <c r="I24" s="62">
        <v>20.703891852678577</v>
      </c>
      <c r="J24" s="62">
        <v>17.563710181449483</v>
      </c>
      <c r="K24" s="62">
        <v>7.3311462681096931</v>
      </c>
    </row>
    <row r="25" spans="1:11" s="19" customFormat="1" ht="14.1" customHeight="1" x14ac:dyDescent="0.25">
      <c r="A25" s="37"/>
      <c r="B25" s="38" t="s">
        <v>38</v>
      </c>
      <c r="C25" s="36"/>
      <c r="D25" s="210">
        <v>559.52962272557784</v>
      </c>
      <c r="E25" s="61">
        <v>100</v>
      </c>
      <c r="F25" s="62">
        <v>37.693725913595522</v>
      </c>
      <c r="G25" s="62">
        <v>3.8035962080475736</v>
      </c>
      <c r="H25" s="62">
        <v>4.5040177160471133</v>
      </c>
      <c r="I25" s="62">
        <v>19.534440407061521</v>
      </c>
      <c r="J25" s="62">
        <v>18.984463341539794</v>
      </c>
      <c r="K25" s="62">
        <v>15.479756413708438</v>
      </c>
    </row>
    <row r="26" spans="1:11" s="19" customFormat="1" ht="14.1" customHeight="1" x14ac:dyDescent="0.25">
      <c r="A26" s="37"/>
      <c r="B26" s="38" t="s">
        <v>39</v>
      </c>
      <c r="C26" s="36"/>
      <c r="D26" s="210">
        <v>952.14709124562728</v>
      </c>
      <c r="E26" s="61">
        <v>100</v>
      </c>
      <c r="F26" s="62">
        <v>36.22420186107199</v>
      </c>
      <c r="G26" s="62">
        <v>4.9455507534633494</v>
      </c>
      <c r="H26" s="62">
        <v>4.1651195398139587</v>
      </c>
      <c r="I26" s="62">
        <v>17.106226729124383</v>
      </c>
      <c r="J26" s="62">
        <v>22.855505019207907</v>
      </c>
      <c r="K26" s="62">
        <v>14.70339609731881</v>
      </c>
    </row>
    <row r="27" spans="1:11" s="19" customFormat="1" ht="14.1" customHeight="1" x14ac:dyDescent="0.25">
      <c r="A27" s="37"/>
      <c r="B27" s="38" t="s">
        <v>40</v>
      </c>
      <c r="C27" s="36"/>
      <c r="D27" s="210">
        <v>282.32897679104548</v>
      </c>
      <c r="E27" s="61">
        <v>100</v>
      </c>
      <c r="F27" s="62">
        <v>39.540852110741596</v>
      </c>
      <c r="G27" s="62">
        <v>2.629620054048555</v>
      </c>
      <c r="H27" s="62">
        <v>3.2743660927800171</v>
      </c>
      <c r="I27" s="62">
        <v>21.89484465268395</v>
      </c>
      <c r="J27" s="62">
        <v>18.525282172911687</v>
      </c>
      <c r="K27" s="62">
        <v>14.135034916834549</v>
      </c>
    </row>
    <row r="28" spans="1:11" s="19" customFormat="1" ht="14.1" customHeight="1" x14ac:dyDescent="0.25">
      <c r="A28" s="37"/>
      <c r="B28" s="38" t="s">
        <v>41</v>
      </c>
      <c r="C28" s="36"/>
      <c r="D28" s="210">
        <v>1001.2554943992847</v>
      </c>
      <c r="E28" s="61">
        <v>100</v>
      </c>
      <c r="F28" s="62">
        <v>43.473537732934119</v>
      </c>
      <c r="G28" s="62">
        <v>4.3538419030333166</v>
      </c>
      <c r="H28" s="62">
        <v>4.0545082404490262</v>
      </c>
      <c r="I28" s="62">
        <v>11.52835019396438</v>
      </c>
      <c r="J28" s="62">
        <v>23.975493281766884</v>
      </c>
      <c r="K28" s="62">
        <v>12.61426864785212</v>
      </c>
    </row>
    <row r="29" spans="1:11" s="19" customFormat="1" ht="14.1" customHeight="1" x14ac:dyDescent="0.25">
      <c r="A29" s="37"/>
      <c r="B29" s="38" t="s">
        <v>42</v>
      </c>
      <c r="C29" s="36"/>
      <c r="D29" s="210">
        <v>1428.2373804243118</v>
      </c>
      <c r="E29" s="61">
        <v>100</v>
      </c>
      <c r="F29" s="62">
        <v>38.713295077641078</v>
      </c>
      <c r="G29" s="62">
        <v>5.7366978216768514</v>
      </c>
      <c r="H29" s="62">
        <v>5.3890792387580202</v>
      </c>
      <c r="I29" s="62">
        <v>18.67010463646757</v>
      </c>
      <c r="J29" s="62">
        <v>19.654928834392781</v>
      </c>
      <c r="K29" s="62">
        <v>11.835894391064636</v>
      </c>
    </row>
    <row r="30" spans="1:11" s="19" customFormat="1" ht="14.1" customHeight="1" x14ac:dyDescent="0.25">
      <c r="A30" s="37"/>
      <c r="B30" s="38" t="s">
        <v>43</v>
      </c>
      <c r="C30" s="36"/>
      <c r="D30" s="210">
        <v>926.90133313808042</v>
      </c>
      <c r="E30" s="61">
        <v>100</v>
      </c>
      <c r="F30" s="62">
        <v>30.795781600719991</v>
      </c>
      <c r="G30" s="62">
        <v>3.7786577856487993</v>
      </c>
      <c r="H30" s="62">
        <v>3.3892728565488675</v>
      </c>
      <c r="I30" s="62">
        <v>23.91324416296434</v>
      </c>
      <c r="J30" s="62">
        <v>21.579495942003629</v>
      </c>
      <c r="K30" s="62">
        <v>16.543547652114164</v>
      </c>
    </row>
    <row r="31" spans="1:11" s="19" customFormat="1" ht="14.1" customHeight="1" x14ac:dyDescent="0.25">
      <c r="A31" s="37"/>
      <c r="B31" s="38" t="s">
        <v>44</v>
      </c>
      <c r="C31" s="36"/>
      <c r="D31" s="210">
        <v>452.28330853028291</v>
      </c>
      <c r="E31" s="61">
        <v>100</v>
      </c>
      <c r="F31" s="62">
        <v>34.705182660393795</v>
      </c>
      <c r="G31" s="62">
        <v>3.7212889775078217</v>
      </c>
      <c r="H31" s="62">
        <v>9.2073324547084301</v>
      </c>
      <c r="I31" s="62">
        <v>17.885190914383575</v>
      </c>
      <c r="J31" s="62">
        <v>17.774877065332429</v>
      </c>
      <c r="K31" s="62">
        <v>16.706127927673712</v>
      </c>
    </row>
    <row r="32" spans="1:11" s="19" customFormat="1" ht="14.1" customHeight="1" x14ac:dyDescent="0.25">
      <c r="A32" s="37"/>
      <c r="B32" s="38" t="s">
        <v>45</v>
      </c>
      <c r="C32" s="36"/>
      <c r="D32" s="210">
        <v>27.230935813011428</v>
      </c>
      <c r="E32" s="61">
        <v>100</v>
      </c>
      <c r="F32" s="62">
        <v>45.954833128280889</v>
      </c>
      <c r="G32" s="62">
        <v>2.2523304709736007</v>
      </c>
      <c r="H32" s="62">
        <v>12.83957180212329</v>
      </c>
      <c r="I32" s="62">
        <v>10.847308585370012</v>
      </c>
      <c r="J32" s="62">
        <v>11.326808756154341</v>
      </c>
      <c r="K32" s="62">
        <v>16.779147257098025</v>
      </c>
    </row>
    <row r="33" spans="1:11" s="19" customFormat="1" ht="14.1" customHeight="1" x14ac:dyDescent="0.25">
      <c r="A33" s="37" t="s">
        <v>232</v>
      </c>
      <c r="B33" s="38"/>
      <c r="C33" s="36" t="s">
        <v>92</v>
      </c>
      <c r="D33" s="60"/>
      <c r="E33" s="61"/>
      <c r="F33" s="58"/>
      <c r="G33" s="62"/>
      <c r="H33" s="62"/>
      <c r="I33" s="62"/>
      <c r="J33" s="62"/>
      <c r="K33" s="62"/>
    </row>
    <row r="34" spans="1:11" s="19" customFormat="1" ht="14.1" customHeight="1" x14ac:dyDescent="0.25">
      <c r="A34" s="37"/>
      <c r="B34" s="38" t="s">
        <v>233</v>
      </c>
      <c r="C34" s="36"/>
      <c r="D34" s="210">
        <v>45010.71515233571</v>
      </c>
      <c r="E34" s="62">
        <v>100</v>
      </c>
      <c r="F34" s="62">
        <v>46.333654865565649</v>
      </c>
      <c r="G34" s="62">
        <v>4.6581159066096864</v>
      </c>
      <c r="H34" s="62">
        <v>4.8410918115334143</v>
      </c>
      <c r="I34" s="62">
        <v>16.325882279258504</v>
      </c>
      <c r="J34" s="62">
        <v>16.145304758825073</v>
      </c>
      <c r="K34" s="62">
        <v>11.69595037820771</v>
      </c>
    </row>
    <row r="35" spans="1:11" s="19" customFormat="1" ht="14.1" customHeight="1" x14ac:dyDescent="0.25">
      <c r="A35" s="37"/>
      <c r="B35" s="38" t="s">
        <v>234</v>
      </c>
      <c r="C35" s="36"/>
      <c r="D35" s="210">
        <v>19949.137927158521</v>
      </c>
      <c r="E35" s="62">
        <v>100</v>
      </c>
      <c r="F35" s="62">
        <v>41.639503430345982</v>
      </c>
      <c r="G35" s="62">
        <v>4.2761036439910365</v>
      </c>
      <c r="H35" s="62">
        <v>4.5222676919909981</v>
      </c>
      <c r="I35" s="62">
        <v>18.760729276139987</v>
      </c>
      <c r="J35" s="62">
        <v>18.410195802752131</v>
      </c>
      <c r="K35" s="62">
        <v>12.391200154778941</v>
      </c>
    </row>
    <row r="36" spans="1:11" s="19" customFormat="1" ht="14.1" customHeight="1" x14ac:dyDescent="0.25">
      <c r="A36" s="37" t="s">
        <v>46</v>
      </c>
      <c r="B36" s="38"/>
      <c r="C36" s="36" t="s">
        <v>19</v>
      </c>
      <c r="D36" s="210"/>
      <c r="E36" s="61"/>
      <c r="F36" s="62"/>
      <c r="G36" s="62"/>
      <c r="H36" s="62"/>
      <c r="I36" s="62"/>
      <c r="J36" s="62"/>
      <c r="K36" s="62"/>
    </row>
    <row r="37" spans="1:11" s="19" customFormat="1" ht="14.1" customHeight="1" x14ac:dyDescent="0.25">
      <c r="A37" s="37"/>
      <c r="B37" s="38" t="s">
        <v>47</v>
      </c>
      <c r="C37" s="36"/>
      <c r="D37" s="210">
        <v>32399.76114896416</v>
      </c>
      <c r="E37" s="61">
        <v>100</v>
      </c>
      <c r="F37" s="62">
        <v>48.318247610827569</v>
      </c>
      <c r="G37" s="62">
        <v>4.5765256095194458</v>
      </c>
      <c r="H37" s="62">
        <v>7.2057729195715581</v>
      </c>
      <c r="I37" s="62">
        <v>13.70677161458603</v>
      </c>
      <c r="J37" s="62">
        <v>14.115295093327946</v>
      </c>
      <c r="K37" s="62">
        <v>12.077387152167724</v>
      </c>
    </row>
    <row r="38" spans="1:11" s="19" customFormat="1" ht="14.1" customHeight="1" x14ac:dyDescent="0.25">
      <c r="A38" s="37"/>
      <c r="B38" s="38" t="s">
        <v>48</v>
      </c>
      <c r="C38" s="36"/>
      <c r="D38" s="210">
        <v>32560.091930530634</v>
      </c>
      <c r="E38" s="61">
        <v>100</v>
      </c>
      <c r="F38" s="62">
        <v>41.482790018697905</v>
      </c>
      <c r="G38" s="62">
        <v>4.5052505771852562</v>
      </c>
      <c r="H38" s="62">
        <v>2.2927154246915857</v>
      </c>
      <c r="I38" s="62">
        <v>20.423894619490522</v>
      </c>
      <c r="J38" s="62">
        <v>19.552987155858975</v>
      </c>
      <c r="K38" s="62">
        <v>11.742362204075187</v>
      </c>
    </row>
    <row r="39" spans="1:11" s="19" customFormat="1" ht="14.1" customHeight="1" x14ac:dyDescent="0.25">
      <c r="A39" s="37" t="s">
        <v>49</v>
      </c>
      <c r="B39" s="38"/>
      <c r="C39" s="36" t="s">
        <v>19</v>
      </c>
      <c r="D39" s="210"/>
      <c r="E39" s="61"/>
      <c r="F39" s="62"/>
      <c r="G39" s="62"/>
      <c r="H39" s="62"/>
      <c r="I39" s="62"/>
      <c r="J39" s="62"/>
      <c r="K39" s="62"/>
    </row>
    <row r="40" spans="1:11" s="19" customFormat="1" ht="14.1" customHeight="1" x14ac:dyDescent="0.25">
      <c r="A40" s="37"/>
      <c r="B40" s="38" t="s">
        <v>107</v>
      </c>
      <c r="C40" s="36"/>
      <c r="D40" s="210">
        <v>1745.5889358515776</v>
      </c>
      <c r="E40" s="61">
        <v>100</v>
      </c>
      <c r="F40" s="62">
        <v>1.5859243852159894</v>
      </c>
      <c r="G40" s="62">
        <v>85.976694082680353</v>
      </c>
      <c r="H40" s="62">
        <v>0.74192550134097524</v>
      </c>
      <c r="I40" s="62">
        <v>2.6400052633317985</v>
      </c>
      <c r="J40" s="62">
        <v>5.2175838105404164</v>
      </c>
      <c r="K40" s="62">
        <v>3.8378669568903288</v>
      </c>
    </row>
    <row r="41" spans="1:11" s="19" customFormat="1" ht="14.1" customHeight="1" x14ac:dyDescent="0.25">
      <c r="A41" s="37"/>
      <c r="B41" s="38" t="s">
        <v>108</v>
      </c>
      <c r="C41" s="36"/>
      <c r="D41" s="210">
        <v>1064.9479498777655</v>
      </c>
      <c r="E41" s="61">
        <v>100</v>
      </c>
      <c r="F41" s="62">
        <v>16.05983129204019</v>
      </c>
      <c r="G41" s="62">
        <v>50.673778648085964</v>
      </c>
      <c r="H41" s="62">
        <v>3.1123341102050155</v>
      </c>
      <c r="I41" s="62">
        <v>9.4732842331966332</v>
      </c>
      <c r="J41" s="62">
        <v>11.323420617498437</v>
      </c>
      <c r="K41" s="62">
        <v>9.3573510989739486</v>
      </c>
    </row>
    <row r="42" spans="1:11" s="19" customFormat="1" ht="14.1" customHeight="1" x14ac:dyDescent="0.25">
      <c r="A42" s="37"/>
      <c r="B42" s="38" t="s">
        <v>109</v>
      </c>
      <c r="C42" s="36"/>
      <c r="D42" s="210">
        <v>8619.0759412223324</v>
      </c>
      <c r="E42" s="61">
        <v>100</v>
      </c>
      <c r="F42" s="62">
        <v>52.615191552586303</v>
      </c>
      <c r="G42" s="62">
        <v>9.730240316424835</v>
      </c>
      <c r="H42" s="62">
        <v>4.3193094861025152</v>
      </c>
      <c r="I42" s="62">
        <v>12.758439026229166</v>
      </c>
      <c r="J42" s="62">
        <v>11.606836294840276</v>
      </c>
      <c r="K42" s="62">
        <v>8.9699833238195499</v>
      </c>
    </row>
    <row r="43" spans="1:11" s="19" customFormat="1" ht="14.1" customHeight="1" x14ac:dyDescent="0.25">
      <c r="A43" s="37"/>
      <c r="B43" s="38" t="s">
        <v>110</v>
      </c>
      <c r="C43" s="36"/>
      <c r="D43" s="210">
        <v>11493.444729573315</v>
      </c>
      <c r="E43" s="61">
        <v>100</v>
      </c>
      <c r="F43" s="62">
        <v>61.346741478184462</v>
      </c>
      <c r="G43" s="62">
        <v>0.11060663426979385</v>
      </c>
      <c r="H43" s="62">
        <v>6.2198524197736109</v>
      </c>
      <c r="I43" s="62">
        <v>11.730490693001576</v>
      </c>
      <c r="J43" s="62">
        <v>15.345991925951127</v>
      </c>
      <c r="K43" s="62">
        <v>5.2463168488192586</v>
      </c>
    </row>
    <row r="44" spans="1:11" s="19" customFormat="1" ht="14.1" customHeight="1" x14ac:dyDescent="0.25">
      <c r="A44" s="37"/>
      <c r="B44" s="38" t="s">
        <v>111</v>
      </c>
      <c r="C44" s="36"/>
      <c r="D44" s="210">
        <v>14471.152017009927</v>
      </c>
      <c r="E44" s="61">
        <v>100</v>
      </c>
      <c r="F44" s="62">
        <v>56.137689801023221</v>
      </c>
      <c r="G44" s="62">
        <v>0.24725343913242473</v>
      </c>
      <c r="H44" s="62">
        <v>6.1586469278418017</v>
      </c>
      <c r="I44" s="62">
        <v>13.533740228613306</v>
      </c>
      <c r="J44" s="62">
        <v>19.545719028198484</v>
      </c>
      <c r="K44" s="62">
        <v>4.3769505751904454</v>
      </c>
    </row>
    <row r="45" spans="1:11" s="19" customFormat="1" ht="14.1" customHeight="1" x14ac:dyDescent="0.25">
      <c r="A45" s="37"/>
      <c r="B45" s="38" t="s">
        <v>112</v>
      </c>
      <c r="C45" s="36"/>
      <c r="D45" s="210">
        <v>12114.527636708999</v>
      </c>
      <c r="E45" s="61">
        <v>100</v>
      </c>
      <c r="F45" s="62">
        <v>50.812414161295017</v>
      </c>
      <c r="G45" s="62">
        <v>0.1016644535855469</v>
      </c>
      <c r="H45" s="62">
        <v>5.4340498915804574</v>
      </c>
      <c r="I45" s="62">
        <v>18.642731573249286</v>
      </c>
      <c r="J45" s="62">
        <v>14.951111862505703</v>
      </c>
      <c r="K45" s="62">
        <v>10.058028057784346</v>
      </c>
    </row>
    <row r="46" spans="1:11" s="19" customFormat="1" ht="14.1" customHeight="1" x14ac:dyDescent="0.25">
      <c r="A46" s="37"/>
      <c r="B46" s="38" t="s">
        <v>113</v>
      </c>
      <c r="C46" s="36"/>
      <c r="D46" s="210">
        <v>5287.344295678281</v>
      </c>
      <c r="E46" s="61">
        <v>100</v>
      </c>
      <c r="F46" s="62">
        <v>34.486494149562759</v>
      </c>
      <c r="G46" s="62">
        <v>7.8891273163587461E-2</v>
      </c>
      <c r="H46" s="62">
        <v>4.2106429764281312</v>
      </c>
      <c r="I46" s="62">
        <v>26.673069121893647</v>
      </c>
      <c r="J46" s="62">
        <v>17.489909786755625</v>
      </c>
      <c r="K46" s="62">
        <v>17.060992692200522</v>
      </c>
    </row>
    <row r="47" spans="1:11" s="19" customFormat="1" ht="14.1" customHeight="1" x14ac:dyDescent="0.25">
      <c r="A47" s="37"/>
      <c r="B47" s="38" t="s">
        <v>114</v>
      </c>
      <c r="C47" s="36"/>
      <c r="D47" s="210">
        <v>10163.771573571617</v>
      </c>
      <c r="E47" s="61">
        <v>100</v>
      </c>
      <c r="F47" s="62">
        <v>12.53912093037154</v>
      </c>
      <c r="G47" s="62">
        <v>5.5205026259424743E-2</v>
      </c>
      <c r="H47" s="62">
        <v>1.7290831922321364</v>
      </c>
      <c r="I47" s="62">
        <v>28.226430701864455</v>
      </c>
      <c r="J47" s="62">
        <v>23.607793581154681</v>
      </c>
      <c r="K47" s="62">
        <v>33.842366568118223</v>
      </c>
    </row>
    <row r="48" spans="1:11" s="19" customFormat="1" ht="3.75" customHeight="1" x14ac:dyDescent="0.25">
      <c r="A48" s="39"/>
      <c r="B48" s="40"/>
      <c r="C48" s="82"/>
      <c r="D48" s="211"/>
      <c r="E48" s="83"/>
      <c r="F48" s="84"/>
      <c r="G48" s="84"/>
      <c r="H48" s="84"/>
      <c r="I48" s="84"/>
      <c r="J48" s="84"/>
      <c r="K48" s="84"/>
    </row>
    <row r="49" spans="1:11" s="19" customFormat="1" ht="15.6" customHeight="1" x14ac:dyDescent="0.25">
      <c r="A49" s="37" t="s">
        <v>50</v>
      </c>
      <c r="B49" s="38"/>
      <c r="C49" s="36" t="s">
        <v>19</v>
      </c>
      <c r="D49" s="210"/>
      <c r="E49" s="61"/>
      <c r="F49" s="62"/>
      <c r="G49" s="62"/>
      <c r="H49" s="62"/>
      <c r="I49" s="62"/>
      <c r="J49" s="62"/>
      <c r="K49" s="62"/>
    </row>
    <row r="50" spans="1:11" s="19" customFormat="1" ht="15.6" customHeight="1" x14ac:dyDescent="0.25">
      <c r="A50" s="37"/>
      <c r="B50" s="38" t="s">
        <v>3</v>
      </c>
      <c r="C50" s="36"/>
      <c r="D50" s="210">
        <v>3662.4814202836792</v>
      </c>
      <c r="E50" s="61">
        <v>100</v>
      </c>
      <c r="F50" s="62">
        <v>13.279549072069337</v>
      </c>
      <c r="G50" s="62">
        <v>1.566293894982828E-2</v>
      </c>
      <c r="H50" s="62">
        <v>0.54293516855147361</v>
      </c>
      <c r="I50" s="62">
        <v>30.684285686925389</v>
      </c>
      <c r="J50" s="62">
        <v>18.847258249696011</v>
      </c>
      <c r="K50" s="62">
        <v>36.630308883807473</v>
      </c>
    </row>
    <row r="51" spans="1:11" s="19" customFormat="1" ht="15.6" customHeight="1" x14ac:dyDescent="0.25">
      <c r="A51" s="37"/>
      <c r="B51" s="38" t="s">
        <v>115</v>
      </c>
      <c r="C51" s="36"/>
      <c r="D51" s="210">
        <v>4681.1979685528095</v>
      </c>
      <c r="E51" s="61">
        <v>100</v>
      </c>
      <c r="F51" s="62">
        <v>33.679471346460083</v>
      </c>
      <c r="G51" s="62">
        <v>4.9219665792964262</v>
      </c>
      <c r="H51" s="62">
        <v>2.5220040530984731</v>
      </c>
      <c r="I51" s="62">
        <v>24.387281054529836</v>
      </c>
      <c r="J51" s="62">
        <v>16.261427185675803</v>
      </c>
      <c r="K51" s="62">
        <v>18.227849780938797</v>
      </c>
    </row>
    <row r="52" spans="1:11" s="19" customFormat="1" ht="15.6" customHeight="1" x14ac:dyDescent="0.25">
      <c r="A52" s="37"/>
      <c r="B52" s="38" t="s">
        <v>116</v>
      </c>
      <c r="C52" s="36"/>
      <c r="D52" s="210">
        <v>17173.428839629785</v>
      </c>
      <c r="E52" s="61">
        <v>100</v>
      </c>
      <c r="F52" s="62">
        <v>40.691261425566893</v>
      </c>
      <c r="G52" s="62">
        <v>8.6211836237153356</v>
      </c>
      <c r="H52" s="62">
        <v>4.2663507865342698</v>
      </c>
      <c r="I52" s="62">
        <v>18.971063623366057</v>
      </c>
      <c r="J52" s="62">
        <v>16.280785504475439</v>
      </c>
      <c r="K52" s="62">
        <v>11.169355036342393</v>
      </c>
    </row>
    <row r="53" spans="1:11" s="19" customFormat="1" ht="15.6" customHeight="1" x14ac:dyDescent="0.25">
      <c r="A53" s="37"/>
      <c r="B53" s="38" t="s">
        <v>51</v>
      </c>
      <c r="C53" s="36"/>
      <c r="D53" s="210">
        <v>7359.5474660538212</v>
      </c>
      <c r="E53" s="61">
        <v>100</v>
      </c>
      <c r="F53" s="62">
        <v>45.347225292144572</v>
      </c>
      <c r="G53" s="62">
        <v>0.91056636092033805</v>
      </c>
      <c r="H53" s="62">
        <v>5.1041380112595673</v>
      </c>
      <c r="I53" s="62">
        <v>18.308886368237321</v>
      </c>
      <c r="J53" s="62">
        <v>18.247556315529675</v>
      </c>
      <c r="K53" s="62">
        <v>12.081627651908974</v>
      </c>
    </row>
    <row r="54" spans="1:11" s="19" customFormat="1" ht="15.6" customHeight="1" x14ac:dyDescent="0.25">
      <c r="A54" s="37"/>
      <c r="B54" s="38" t="s">
        <v>52</v>
      </c>
      <c r="C54" s="36"/>
      <c r="D54" s="210">
        <v>23772.087590406398</v>
      </c>
      <c r="E54" s="61">
        <v>100</v>
      </c>
      <c r="F54" s="62">
        <v>51.792281783580115</v>
      </c>
      <c r="G54" s="62">
        <v>4.4625721241600242</v>
      </c>
      <c r="H54" s="62">
        <v>4.6248541028136154</v>
      </c>
      <c r="I54" s="62">
        <v>13.916717318825276</v>
      </c>
      <c r="J54" s="62">
        <v>16.646438983956294</v>
      </c>
      <c r="K54" s="62">
        <v>8.5571356866650401</v>
      </c>
    </row>
    <row r="55" spans="1:11" s="19" customFormat="1" ht="15.6" customHeight="1" x14ac:dyDescent="0.25">
      <c r="A55" s="37"/>
      <c r="B55" s="38" t="s">
        <v>4</v>
      </c>
      <c r="C55" s="36"/>
      <c r="D55" s="210">
        <v>8249.9009293799427</v>
      </c>
      <c r="E55" s="61">
        <v>100</v>
      </c>
      <c r="F55" s="62">
        <v>53.761784328970791</v>
      </c>
      <c r="G55" s="62">
        <v>1.3370280782203583</v>
      </c>
      <c r="H55" s="62">
        <v>8.9076404325219389</v>
      </c>
      <c r="I55" s="62">
        <v>10.847844356534766</v>
      </c>
      <c r="J55" s="62">
        <v>16.796713433830913</v>
      </c>
      <c r="K55" s="62">
        <v>8.3489893699210977</v>
      </c>
    </row>
    <row r="56" spans="1:11" s="19" customFormat="1" ht="15.6" customHeight="1" x14ac:dyDescent="0.25">
      <c r="A56" s="37"/>
      <c r="B56" s="38" t="s">
        <v>117</v>
      </c>
      <c r="C56" s="36"/>
      <c r="D56" s="210">
        <v>61.208865187846989</v>
      </c>
      <c r="E56" s="61">
        <v>100</v>
      </c>
      <c r="F56" s="62">
        <v>42.529307196574294</v>
      </c>
      <c r="G56" s="62">
        <v>0</v>
      </c>
      <c r="H56" s="62">
        <v>0.98434689888068327</v>
      </c>
      <c r="I56" s="62">
        <v>27.631656435131188</v>
      </c>
      <c r="J56" s="62">
        <v>10.555011742380803</v>
      </c>
      <c r="K56" s="62">
        <v>18.299677727032979</v>
      </c>
    </row>
    <row r="57" spans="1:11" s="19" customFormat="1" ht="15.6" customHeight="1" x14ac:dyDescent="0.25">
      <c r="A57" s="37" t="s">
        <v>53</v>
      </c>
      <c r="B57" s="38"/>
      <c r="C57" s="36" t="s">
        <v>19</v>
      </c>
      <c r="D57" s="210"/>
      <c r="E57" s="61"/>
      <c r="F57" s="62"/>
      <c r="G57" s="62"/>
      <c r="H57" s="62"/>
      <c r="I57" s="62"/>
      <c r="J57" s="62"/>
      <c r="K57" s="62"/>
    </row>
    <row r="58" spans="1:11" s="19" customFormat="1" ht="15.6" customHeight="1" x14ac:dyDescent="0.25">
      <c r="A58" s="37"/>
      <c r="B58" s="38" t="s">
        <v>54</v>
      </c>
      <c r="C58" s="36"/>
      <c r="D58" s="210">
        <v>1858.1567982429931</v>
      </c>
      <c r="E58" s="61">
        <v>100</v>
      </c>
      <c r="F58" s="62">
        <v>49.235162305183735</v>
      </c>
      <c r="G58" s="62">
        <v>0.10404384704521591</v>
      </c>
      <c r="H58" s="62">
        <v>5.5298918352894191</v>
      </c>
      <c r="I58" s="62">
        <v>12.399322235935202</v>
      </c>
      <c r="J58" s="62">
        <v>23.949357993868421</v>
      </c>
      <c r="K58" s="62">
        <v>8.7822217826779347</v>
      </c>
    </row>
    <row r="59" spans="1:11" s="19" customFormat="1" ht="15.6" customHeight="1" x14ac:dyDescent="0.25">
      <c r="A59" s="37"/>
      <c r="B59" s="38" t="s">
        <v>55</v>
      </c>
      <c r="C59" s="36"/>
      <c r="D59" s="210">
        <v>14342.039471561147</v>
      </c>
      <c r="E59" s="61">
        <v>100</v>
      </c>
      <c r="F59" s="62">
        <v>69.498400188656376</v>
      </c>
      <c r="G59" s="62">
        <v>0.26919674304651348</v>
      </c>
      <c r="H59" s="62">
        <v>6.3107023703414873</v>
      </c>
      <c r="I59" s="62">
        <v>9.8043296278340382</v>
      </c>
      <c r="J59" s="62">
        <v>9.5587195974534396</v>
      </c>
      <c r="K59" s="62">
        <v>4.5586514726666749</v>
      </c>
    </row>
    <row r="60" spans="1:11" s="19" customFormat="1" ht="15.6" customHeight="1" x14ac:dyDescent="0.25">
      <c r="A60" s="37"/>
      <c r="B60" s="38" t="s">
        <v>211</v>
      </c>
      <c r="C60" s="36"/>
      <c r="D60" s="210">
        <v>3046.0184699973133</v>
      </c>
      <c r="E60" s="61">
        <v>100</v>
      </c>
      <c r="F60" s="62">
        <v>59.580122361728769</v>
      </c>
      <c r="G60" s="62">
        <v>0.2319711436569685</v>
      </c>
      <c r="H60" s="62">
        <v>7.4202258074886256</v>
      </c>
      <c r="I60" s="62">
        <v>12.57527429144135</v>
      </c>
      <c r="J60" s="62">
        <v>14.938725435153868</v>
      </c>
      <c r="K60" s="62">
        <v>5.2536809605303176</v>
      </c>
    </row>
    <row r="61" spans="1:11" s="19" customFormat="1" ht="15.6" customHeight="1" x14ac:dyDescent="0.25">
      <c r="A61" s="37"/>
      <c r="B61" s="38" t="s">
        <v>212</v>
      </c>
      <c r="C61" s="36"/>
      <c r="D61" s="210">
        <v>1904.7662683013382</v>
      </c>
      <c r="E61" s="61">
        <v>100</v>
      </c>
      <c r="F61" s="62">
        <v>55.161469882210717</v>
      </c>
      <c r="G61" s="62">
        <v>6.0597321377309159</v>
      </c>
      <c r="H61" s="62">
        <v>2.3236960247326777</v>
      </c>
      <c r="I61" s="62">
        <v>12.881495283887009</v>
      </c>
      <c r="J61" s="62">
        <v>12.65860923788709</v>
      </c>
      <c r="K61" s="62">
        <v>10.914997433551642</v>
      </c>
    </row>
    <row r="62" spans="1:11" s="19" customFormat="1" ht="15.6" customHeight="1" x14ac:dyDescent="0.25">
      <c r="A62" s="37"/>
      <c r="B62" s="38" t="s">
        <v>56</v>
      </c>
      <c r="C62" s="36"/>
      <c r="D62" s="210">
        <v>20617.456120824885</v>
      </c>
      <c r="E62" s="61">
        <v>100</v>
      </c>
      <c r="F62" s="62">
        <v>62.172319959503881</v>
      </c>
      <c r="G62" s="62">
        <v>0.76933424155477104</v>
      </c>
      <c r="H62" s="62">
        <v>8.1531226173685027</v>
      </c>
      <c r="I62" s="62">
        <v>10.869931614248763</v>
      </c>
      <c r="J62" s="62">
        <v>12.237668875024704</v>
      </c>
      <c r="K62" s="62">
        <v>5.7976226922990577</v>
      </c>
    </row>
    <row r="63" spans="1:11" s="19" customFormat="1" ht="15.6" customHeight="1" x14ac:dyDescent="0.25">
      <c r="A63" s="37"/>
      <c r="B63" s="38" t="s">
        <v>57</v>
      </c>
      <c r="C63" s="36"/>
      <c r="D63" s="210">
        <v>3798.9002068525861</v>
      </c>
      <c r="E63" s="61">
        <v>100</v>
      </c>
      <c r="F63" s="62">
        <v>65.292232161697939</v>
      </c>
      <c r="G63" s="62">
        <v>5.4462774175547207E-2</v>
      </c>
      <c r="H63" s="62">
        <v>3.1951269134654181</v>
      </c>
      <c r="I63" s="62">
        <v>9.5619881460139755</v>
      </c>
      <c r="J63" s="62">
        <v>15.333656292703376</v>
      </c>
      <c r="K63" s="62">
        <v>6.5625337119440363</v>
      </c>
    </row>
    <row r="64" spans="1:11" s="19" customFormat="1" ht="15.6" customHeight="1" x14ac:dyDescent="0.25">
      <c r="A64" s="37"/>
      <c r="B64" s="38" t="s">
        <v>204</v>
      </c>
      <c r="C64" s="36"/>
      <c r="D64" s="210">
        <v>161.46251086816454</v>
      </c>
      <c r="E64" s="61">
        <v>100</v>
      </c>
      <c r="F64" s="62">
        <v>27.916994116580721</v>
      </c>
      <c r="G64" s="62">
        <v>55.523810673910731</v>
      </c>
      <c r="H64" s="62">
        <v>0.43192143659739568</v>
      </c>
      <c r="I64" s="62">
        <v>11.106514684956419</v>
      </c>
      <c r="J64" s="62">
        <v>2.0366586452946351</v>
      </c>
      <c r="K64" s="62">
        <v>2.984100442659956</v>
      </c>
    </row>
    <row r="65" spans="1:11" s="19" customFormat="1" ht="15.6" customHeight="1" x14ac:dyDescent="0.25">
      <c r="A65" s="37"/>
      <c r="B65" s="38" t="s">
        <v>58</v>
      </c>
      <c r="C65" s="36"/>
      <c r="D65" s="210">
        <v>5782.3175242788238</v>
      </c>
      <c r="E65" s="61">
        <v>100</v>
      </c>
      <c r="F65" s="62">
        <v>0</v>
      </c>
      <c r="G65" s="62">
        <v>0</v>
      </c>
      <c r="H65" s="62">
        <v>0</v>
      </c>
      <c r="I65" s="62">
        <v>42.715188227924841</v>
      </c>
      <c r="J65" s="62">
        <v>36.746834265996313</v>
      </c>
      <c r="K65" s="62">
        <v>20.537977506078793</v>
      </c>
    </row>
    <row r="66" spans="1:11" s="19" customFormat="1" ht="15.6" customHeight="1" x14ac:dyDescent="0.25">
      <c r="A66" s="37"/>
      <c r="B66" s="38" t="s">
        <v>59</v>
      </c>
      <c r="C66" s="36"/>
      <c r="D66" s="210">
        <v>8199.5477880629624</v>
      </c>
      <c r="E66" s="61">
        <v>100</v>
      </c>
      <c r="F66" s="62">
        <v>0</v>
      </c>
      <c r="G66" s="62">
        <v>0</v>
      </c>
      <c r="H66" s="62">
        <v>0</v>
      </c>
      <c r="I66" s="62">
        <v>33.475515892433691</v>
      </c>
      <c r="J66" s="62">
        <v>27.35890990674342</v>
      </c>
      <c r="K66" s="62">
        <v>39.165574200823052</v>
      </c>
    </row>
    <row r="67" spans="1:11" s="19" customFormat="1" ht="15.6" customHeight="1" x14ac:dyDescent="0.25">
      <c r="A67" s="37"/>
      <c r="B67" s="38" t="s">
        <v>61</v>
      </c>
      <c r="C67" s="36"/>
      <c r="D67" s="210">
        <v>3353.3011970360885</v>
      </c>
      <c r="E67" s="61">
        <v>100</v>
      </c>
      <c r="F67" s="62">
        <v>0</v>
      </c>
      <c r="G67" s="62">
        <v>75.50193552637441</v>
      </c>
      <c r="H67" s="62">
        <v>0</v>
      </c>
      <c r="I67" s="62">
        <v>7.3914645473067075</v>
      </c>
      <c r="J67" s="62">
        <v>8.9841192863649812</v>
      </c>
      <c r="K67" s="62">
        <v>8.122480639953622</v>
      </c>
    </row>
    <row r="68" spans="1:11" s="19" customFormat="1" ht="15.6" customHeight="1" x14ac:dyDescent="0.25">
      <c r="A68" s="37"/>
      <c r="B68" s="38" t="s">
        <v>60</v>
      </c>
      <c r="C68" s="36"/>
      <c r="D68" s="210">
        <v>1772.0729445072873</v>
      </c>
      <c r="E68" s="61">
        <v>100</v>
      </c>
      <c r="F68" s="62">
        <v>0</v>
      </c>
      <c r="G68" s="62">
        <v>0</v>
      </c>
      <c r="H68" s="62">
        <v>0</v>
      </c>
      <c r="I68" s="62">
        <v>40.16671391900136</v>
      </c>
      <c r="J68" s="62">
        <v>35.766780712954514</v>
      </c>
      <c r="K68" s="62">
        <v>24.066505368044155</v>
      </c>
    </row>
    <row r="69" spans="1:11" s="19" customFormat="1" ht="15.6" customHeight="1" x14ac:dyDescent="0.25">
      <c r="A69" s="37"/>
      <c r="B69" s="38" t="s">
        <v>117</v>
      </c>
      <c r="C69" s="36"/>
      <c r="D69" s="210">
        <v>123.81377896109839</v>
      </c>
      <c r="E69" s="61">
        <v>100</v>
      </c>
      <c r="F69" s="62">
        <v>56.653846105765496</v>
      </c>
      <c r="G69" s="62">
        <v>3.652497140503689</v>
      </c>
      <c r="H69" s="62">
        <v>0</v>
      </c>
      <c r="I69" s="62">
        <v>23.709798138308255</v>
      </c>
      <c r="J69" s="62">
        <v>12.606810293833613</v>
      </c>
      <c r="K69" s="62">
        <v>3.3770483215889402</v>
      </c>
    </row>
    <row r="70" spans="1:11" s="19" customFormat="1" ht="15.6" customHeight="1" x14ac:dyDescent="0.25">
      <c r="A70" s="37" t="s">
        <v>88</v>
      </c>
      <c r="B70" s="38"/>
      <c r="C70" s="36" t="s">
        <v>19</v>
      </c>
      <c r="D70" s="210"/>
      <c r="E70" s="61"/>
      <c r="F70" s="62"/>
      <c r="G70" s="62"/>
      <c r="H70" s="62"/>
      <c r="I70" s="62"/>
      <c r="J70" s="62"/>
      <c r="K70" s="62"/>
    </row>
    <row r="71" spans="1:11" s="19" customFormat="1" ht="15.6" customHeight="1" x14ac:dyDescent="0.25">
      <c r="A71" s="37"/>
      <c r="B71" s="196" t="s">
        <v>106</v>
      </c>
      <c r="C71" s="36"/>
      <c r="D71" s="210">
        <v>8434.9697020608928</v>
      </c>
      <c r="E71" s="61">
        <v>100</v>
      </c>
      <c r="F71" s="62">
        <v>41.21838862955336</v>
      </c>
      <c r="G71" s="62">
        <v>13.954639696118782</v>
      </c>
      <c r="H71" s="62">
        <v>3.7575267743139094</v>
      </c>
      <c r="I71" s="62">
        <v>7.7926589892591283</v>
      </c>
      <c r="J71" s="62">
        <v>19.407463058824359</v>
      </c>
      <c r="K71" s="62">
        <v>13.869322851929716</v>
      </c>
    </row>
    <row r="72" spans="1:11" s="19" customFormat="1" ht="15.6" customHeight="1" x14ac:dyDescent="0.25">
      <c r="A72" s="37"/>
      <c r="B72" s="38" t="s">
        <v>89</v>
      </c>
      <c r="C72" s="36"/>
      <c r="D72" s="210">
        <v>8643.4809009392266</v>
      </c>
      <c r="E72" s="61">
        <v>100</v>
      </c>
      <c r="F72" s="62">
        <v>20.440520167442227</v>
      </c>
      <c r="G72" s="62">
        <v>9.8494886469059075</v>
      </c>
      <c r="H72" s="62">
        <v>0.92456442613535739</v>
      </c>
      <c r="I72" s="62">
        <v>22.580468928591802</v>
      </c>
      <c r="J72" s="62">
        <v>12.81651942864108</v>
      </c>
      <c r="K72" s="62">
        <v>33.388438402284017</v>
      </c>
    </row>
    <row r="73" spans="1:11" s="19" customFormat="1" ht="15.6" customHeight="1" x14ac:dyDescent="0.25">
      <c r="A73" s="37"/>
      <c r="B73" s="38" t="s">
        <v>90</v>
      </c>
      <c r="C73" s="36"/>
      <c r="D73" s="210">
        <v>50616.262190942973</v>
      </c>
      <c r="E73" s="61">
        <v>100</v>
      </c>
      <c r="F73" s="62">
        <v>49.807207481767556</v>
      </c>
      <c r="G73" s="62">
        <v>2.627858023805361</v>
      </c>
      <c r="H73" s="62">
        <v>5.4980663191497179</v>
      </c>
      <c r="I73" s="62">
        <v>16.999758648202221</v>
      </c>
      <c r="J73" s="62">
        <v>16.93795667887192</v>
      </c>
      <c r="K73" s="62">
        <v>8.1291528481975384</v>
      </c>
    </row>
    <row r="74" spans="1:11" s="19" customFormat="1" ht="15.6" customHeight="1" x14ac:dyDescent="0.25">
      <c r="A74" s="37" t="s">
        <v>72</v>
      </c>
      <c r="B74" s="38"/>
      <c r="C74" s="36" t="s">
        <v>19</v>
      </c>
      <c r="D74" s="210"/>
      <c r="E74" s="61"/>
      <c r="F74" s="62"/>
      <c r="G74" s="62"/>
      <c r="H74" s="62"/>
      <c r="I74" s="62"/>
      <c r="J74" s="62"/>
      <c r="K74" s="62"/>
    </row>
    <row r="75" spans="1:11" s="19" customFormat="1" ht="15.6" customHeight="1" x14ac:dyDescent="0.25">
      <c r="A75" s="37"/>
      <c r="B75" s="38" t="s">
        <v>163</v>
      </c>
      <c r="C75" s="36"/>
      <c r="D75" s="210">
        <v>4031.9924900357187</v>
      </c>
      <c r="E75" s="61">
        <v>100</v>
      </c>
      <c r="F75" s="62">
        <v>53.06369953460154</v>
      </c>
      <c r="G75" s="62">
        <v>8.3328062896037682</v>
      </c>
      <c r="H75" s="62">
        <v>3.2851272154700286</v>
      </c>
      <c r="I75" s="62">
        <v>8.951857992845822</v>
      </c>
      <c r="J75" s="62">
        <v>7.9779705174298607</v>
      </c>
      <c r="K75" s="62">
        <v>18.388538450048966</v>
      </c>
    </row>
    <row r="76" spans="1:11" s="19" customFormat="1" ht="15.6" customHeight="1" x14ac:dyDescent="0.25">
      <c r="A76" s="37"/>
      <c r="B76" s="38" t="s">
        <v>164</v>
      </c>
      <c r="C76" s="36"/>
      <c r="D76" s="210">
        <v>15917.234875966691</v>
      </c>
      <c r="E76" s="61">
        <v>100</v>
      </c>
      <c r="F76" s="62">
        <v>62.885808441113255</v>
      </c>
      <c r="G76" s="62">
        <v>4.9369732388978003</v>
      </c>
      <c r="H76" s="62">
        <v>1.7128407897654196</v>
      </c>
      <c r="I76" s="62">
        <v>11.472731113109104</v>
      </c>
      <c r="J76" s="62">
        <v>12.189258562166398</v>
      </c>
      <c r="K76" s="62">
        <v>6.8023878549484476</v>
      </c>
    </row>
    <row r="77" spans="1:11" s="19" customFormat="1" ht="15.6" customHeight="1" x14ac:dyDescent="0.25">
      <c r="A77" s="37"/>
      <c r="B77" s="38" t="s">
        <v>219</v>
      </c>
      <c r="C77" s="36"/>
      <c r="D77" s="210">
        <v>7171.7152701565037</v>
      </c>
      <c r="E77" s="61">
        <v>100</v>
      </c>
      <c r="F77" s="62">
        <v>24.857614364085297</v>
      </c>
      <c r="G77" s="62">
        <v>2.8147903650556261</v>
      </c>
      <c r="H77" s="62">
        <v>7.9154185738818947</v>
      </c>
      <c r="I77" s="62">
        <v>31.620841280171479</v>
      </c>
      <c r="J77" s="62">
        <v>17.187724482796387</v>
      </c>
      <c r="K77" s="62">
        <v>15.603610934009071</v>
      </c>
    </row>
    <row r="78" spans="1:11" s="19" customFormat="1" ht="15.6" customHeight="1" x14ac:dyDescent="0.25">
      <c r="A78" s="37"/>
      <c r="B78" s="38" t="s">
        <v>214</v>
      </c>
      <c r="C78" s="36"/>
      <c r="D78" s="210">
        <v>5521.9149053128303</v>
      </c>
      <c r="E78" s="61">
        <v>100</v>
      </c>
      <c r="F78" s="62">
        <v>11.689387994856352</v>
      </c>
      <c r="G78" s="62">
        <v>1.9125705268994979</v>
      </c>
      <c r="H78" s="62">
        <v>8.7421338207329189</v>
      </c>
      <c r="I78" s="62">
        <v>35.014482833380711</v>
      </c>
      <c r="J78" s="62">
        <v>31.240487218003292</v>
      </c>
      <c r="K78" s="62">
        <v>11.400937606127192</v>
      </c>
    </row>
    <row r="79" spans="1:11" s="19" customFormat="1" ht="15.6" customHeight="1" x14ac:dyDescent="0.25">
      <c r="A79" s="37"/>
      <c r="B79" s="38" t="s">
        <v>216</v>
      </c>
      <c r="C79" s="36"/>
      <c r="D79" s="210">
        <v>3504.2134938782101</v>
      </c>
      <c r="E79" s="61">
        <v>100</v>
      </c>
      <c r="F79" s="62">
        <v>15.885358771505803</v>
      </c>
      <c r="G79" s="62">
        <v>2.7144763311400073</v>
      </c>
      <c r="H79" s="62">
        <v>14.96809418929384</v>
      </c>
      <c r="I79" s="62">
        <v>16.739668819198826</v>
      </c>
      <c r="J79" s="62">
        <v>28.763047328059983</v>
      </c>
      <c r="K79" s="62">
        <v>20.929354560801443</v>
      </c>
    </row>
    <row r="80" spans="1:11" s="19" customFormat="1" ht="15.6" customHeight="1" x14ac:dyDescent="0.25">
      <c r="A80" s="37"/>
      <c r="B80" s="38" t="s">
        <v>222</v>
      </c>
      <c r="C80" s="36"/>
      <c r="D80" s="210">
        <v>6016.87632226401</v>
      </c>
      <c r="E80" s="61">
        <v>100</v>
      </c>
      <c r="F80" s="62">
        <v>25.223895875387988</v>
      </c>
      <c r="G80" s="62">
        <v>8.7987922809823278</v>
      </c>
      <c r="H80" s="62">
        <v>10.386401719681162</v>
      </c>
      <c r="I80" s="62">
        <v>16.483115329061885</v>
      </c>
      <c r="J80" s="62">
        <v>21.993549156054701</v>
      </c>
      <c r="K80" s="62">
        <v>17.114245638832053</v>
      </c>
    </row>
    <row r="81" spans="1:11" s="19" customFormat="1" ht="15.6" customHeight="1" x14ac:dyDescent="0.25">
      <c r="A81" s="37"/>
      <c r="B81" s="38" t="s">
        <v>165</v>
      </c>
      <c r="C81" s="36"/>
      <c r="D81" s="210">
        <v>14232.915455832237</v>
      </c>
      <c r="E81" s="61">
        <v>100</v>
      </c>
      <c r="F81" s="62">
        <v>61.374399848346627</v>
      </c>
      <c r="G81" s="62">
        <v>4.1726156607217968</v>
      </c>
      <c r="H81" s="62">
        <v>1.9200143171926567</v>
      </c>
      <c r="I81" s="62">
        <v>10.887079709243492</v>
      </c>
      <c r="J81" s="62">
        <v>13.387796697231506</v>
      </c>
      <c r="K81" s="62">
        <v>8.2580937672631016</v>
      </c>
    </row>
    <row r="82" spans="1:11" s="19" customFormat="1" ht="15.6" customHeight="1" x14ac:dyDescent="0.25">
      <c r="A82" s="37"/>
      <c r="B82" s="38" t="s">
        <v>158</v>
      </c>
      <c r="C82" s="36"/>
      <c r="D82" s="210">
        <v>6581.9845330882372</v>
      </c>
      <c r="E82" s="61">
        <v>100</v>
      </c>
      <c r="F82" s="62">
        <v>45.12002472271444</v>
      </c>
      <c r="G82" s="62">
        <v>3.7365958775736212</v>
      </c>
      <c r="H82" s="62">
        <v>1.5290076886299007</v>
      </c>
      <c r="I82" s="62">
        <v>17.935144506838832</v>
      </c>
      <c r="J82" s="62">
        <v>17.991467766275093</v>
      </c>
      <c r="K82" s="62">
        <v>13.687759437968461</v>
      </c>
    </row>
    <row r="83" spans="1:11" s="19" customFormat="1" ht="15.6" customHeight="1" x14ac:dyDescent="0.25">
      <c r="A83" s="37"/>
      <c r="B83" s="38" t="s">
        <v>159</v>
      </c>
      <c r="C83" s="36"/>
      <c r="D83" s="210">
        <v>1122.6620281066191</v>
      </c>
      <c r="E83" s="61">
        <v>100</v>
      </c>
      <c r="F83" s="62">
        <v>55.911375593886305</v>
      </c>
      <c r="G83" s="62">
        <v>4.5508842890436094</v>
      </c>
      <c r="H83" s="62">
        <v>5.1970846431112117</v>
      </c>
      <c r="I83" s="62">
        <v>6.1547002501958339</v>
      </c>
      <c r="J83" s="62">
        <v>14.72474547104097</v>
      </c>
      <c r="K83" s="62">
        <v>13.461209752722255</v>
      </c>
    </row>
    <row r="84" spans="1:11" s="19" customFormat="1" ht="15.6" customHeight="1" x14ac:dyDescent="0.25">
      <c r="A84" s="37"/>
      <c r="B84" s="38" t="s">
        <v>75</v>
      </c>
      <c r="C84" s="36"/>
      <c r="D84" s="210">
        <v>858.34370485322324</v>
      </c>
      <c r="E84" s="61">
        <v>100</v>
      </c>
      <c r="F84" s="62">
        <v>20.647557306216655</v>
      </c>
      <c r="G84" s="62">
        <v>0.57768367364162199</v>
      </c>
      <c r="H84" s="62">
        <v>5.1210645908528427</v>
      </c>
      <c r="I84" s="62">
        <v>37.886630906609504</v>
      </c>
      <c r="J84" s="62">
        <v>15.6089973089517</v>
      </c>
      <c r="K84" s="62">
        <v>20.158066213727523</v>
      </c>
    </row>
    <row r="85" spans="1:11" s="19" customFormat="1" ht="5.0999999999999996" customHeight="1" x14ac:dyDescent="0.25">
      <c r="A85" s="63"/>
      <c r="B85" s="64"/>
      <c r="C85" s="65"/>
      <c r="D85" s="212"/>
      <c r="E85" s="67"/>
      <c r="F85" s="69"/>
      <c r="G85" s="69"/>
      <c r="H85" s="69"/>
      <c r="I85" s="69"/>
      <c r="J85" s="69"/>
      <c r="K85" s="69"/>
    </row>
    <row r="86" spans="1:11" s="19" customFormat="1" ht="5.0999999999999996" customHeight="1" x14ac:dyDescent="0.25">
      <c r="A86" s="30"/>
      <c r="B86" s="70"/>
      <c r="C86" s="108"/>
      <c r="D86" s="213"/>
      <c r="E86" s="110"/>
      <c r="F86" s="71"/>
      <c r="G86" s="71"/>
      <c r="H86" s="71"/>
      <c r="I86" s="71"/>
      <c r="J86" s="71"/>
      <c r="K86" s="71"/>
    </row>
    <row r="87" spans="1:11" s="19" customFormat="1" ht="15.6" customHeight="1" x14ac:dyDescent="0.25">
      <c r="A87" s="33" t="s">
        <v>62</v>
      </c>
      <c r="B87" s="38"/>
      <c r="C87" s="36" t="s">
        <v>19</v>
      </c>
      <c r="D87" s="210"/>
      <c r="E87" s="61"/>
      <c r="F87" s="62"/>
      <c r="G87" s="62"/>
      <c r="H87" s="62"/>
      <c r="I87" s="62"/>
      <c r="J87" s="62"/>
      <c r="K87" s="62"/>
    </row>
    <row r="88" spans="1:11" s="19" customFormat="1" ht="15.6" customHeight="1" x14ac:dyDescent="0.25">
      <c r="A88" s="37"/>
      <c r="B88" s="38" t="s">
        <v>129</v>
      </c>
      <c r="C88" s="36"/>
      <c r="D88" s="210">
        <v>48491.602810321609</v>
      </c>
      <c r="E88" s="61">
        <v>100</v>
      </c>
      <c r="F88" s="62">
        <v>44.2</v>
      </c>
      <c r="G88" s="62">
        <v>8.8000000000000007</v>
      </c>
      <c r="H88" s="62">
        <v>4.5999999999999996</v>
      </c>
      <c r="I88" s="62">
        <v>16</v>
      </c>
      <c r="J88" s="62">
        <v>15.5</v>
      </c>
      <c r="K88" s="62">
        <v>10.9</v>
      </c>
    </row>
    <row r="89" spans="1:11" s="19" customFormat="1" ht="15.6" customHeight="1" x14ac:dyDescent="0.25">
      <c r="A89" s="37"/>
      <c r="B89" s="38" t="s">
        <v>130</v>
      </c>
      <c r="C89" s="36"/>
      <c r="D89" s="210">
        <v>77792.30183809108</v>
      </c>
      <c r="E89" s="61">
        <v>100</v>
      </c>
      <c r="F89" s="62">
        <v>43.7</v>
      </c>
      <c r="G89" s="62">
        <v>8.6999999999999993</v>
      </c>
      <c r="H89" s="62">
        <v>3.1</v>
      </c>
      <c r="I89" s="62">
        <v>15.4</v>
      </c>
      <c r="J89" s="62">
        <v>16.600000000000001</v>
      </c>
      <c r="K89" s="62">
        <v>12.5</v>
      </c>
    </row>
    <row r="90" spans="1:11" s="19" customFormat="1" ht="15.6" customHeight="1" x14ac:dyDescent="0.25">
      <c r="A90" s="37"/>
      <c r="B90" s="38" t="s">
        <v>131</v>
      </c>
      <c r="C90" s="36"/>
      <c r="D90" s="210">
        <v>77238.152616559571</v>
      </c>
      <c r="E90" s="61">
        <v>100</v>
      </c>
      <c r="F90" s="62">
        <v>43.8</v>
      </c>
      <c r="G90" s="62">
        <v>8.5</v>
      </c>
      <c r="H90" s="62">
        <v>4.5999999999999996</v>
      </c>
      <c r="I90" s="62">
        <v>15.2</v>
      </c>
      <c r="J90" s="62">
        <v>16.899999999999999</v>
      </c>
      <c r="K90" s="62">
        <v>11</v>
      </c>
    </row>
    <row r="91" spans="1:11" s="19" customFormat="1" ht="15.6" customHeight="1" x14ac:dyDescent="0.25">
      <c r="A91" s="37"/>
      <c r="B91" s="38" t="s">
        <v>132</v>
      </c>
      <c r="C91" s="36"/>
      <c r="D91" s="210">
        <v>77749.589610507726</v>
      </c>
      <c r="E91" s="61">
        <v>100</v>
      </c>
      <c r="F91" s="62">
        <v>43.8</v>
      </c>
      <c r="G91" s="62">
        <v>8.4</v>
      </c>
      <c r="H91" s="62">
        <v>4.5999999999999996</v>
      </c>
      <c r="I91" s="62">
        <v>15.1</v>
      </c>
      <c r="J91" s="62">
        <v>15.5</v>
      </c>
      <c r="K91" s="62">
        <v>12.4</v>
      </c>
    </row>
    <row r="92" spans="1:11" s="19" customFormat="1" ht="15.6" customHeight="1" x14ac:dyDescent="0.25">
      <c r="A92" s="37"/>
      <c r="B92" s="38" t="s">
        <v>133</v>
      </c>
      <c r="C92" s="36"/>
      <c r="D92" s="210">
        <v>73755.1513755755</v>
      </c>
      <c r="E92" s="61">
        <v>100</v>
      </c>
      <c r="F92" s="62">
        <v>44.7</v>
      </c>
      <c r="G92" s="62">
        <v>8</v>
      </c>
      <c r="H92" s="62">
        <v>3.4</v>
      </c>
      <c r="I92" s="62">
        <v>14.7</v>
      </c>
      <c r="J92" s="62">
        <v>16.100000000000001</v>
      </c>
      <c r="K92" s="62">
        <v>13.1</v>
      </c>
    </row>
    <row r="93" spans="1:11" s="19" customFormat="1" ht="15.6" customHeight="1" x14ac:dyDescent="0.25">
      <c r="A93" s="37"/>
      <c r="B93" s="38" t="s">
        <v>134</v>
      </c>
      <c r="C93" s="36"/>
      <c r="D93" s="210">
        <v>76194.665053140809</v>
      </c>
      <c r="E93" s="61">
        <v>100</v>
      </c>
      <c r="F93" s="62">
        <v>45</v>
      </c>
      <c r="G93" s="62">
        <v>7.2</v>
      </c>
      <c r="H93" s="62">
        <v>3.8</v>
      </c>
      <c r="I93" s="62">
        <v>14.7</v>
      </c>
      <c r="J93" s="62">
        <v>16.100000000000001</v>
      </c>
      <c r="K93" s="62">
        <v>13.2</v>
      </c>
    </row>
    <row r="94" spans="1:11" s="19" customFormat="1" ht="15.6" customHeight="1" x14ac:dyDescent="0.25">
      <c r="A94" s="37"/>
      <c r="B94" s="38" t="s">
        <v>135</v>
      </c>
      <c r="C94" s="36"/>
      <c r="D94" s="210">
        <v>75815.476902647817</v>
      </c>
      <c r="E94" s="61">
        <v>100</v>
      </c>
      <c r="F94" s="62">
        <v>44.6</v>
      </c>
      <c r="G94" s="62">
        <v>7.1</v>
      </c>
      <c r="H94" s="62">
        <v>3.0999999999999996</v>
      </c>
      <c r="I94" s="62">
        <v>14.8</v>
      </c>
      <c r="J94" s="62">
        <v>17.399999999999999</v>
      </c>
      <c r="K94" s="62">
        <v>13</v>
      </c>
    </row>
    <row r="95" spans="1:11" s="19" customFormat="1" ht="15.6" customHeight="1" x14ac:dyDescent="0.25">
      <c r="A95" s="37"/>
      <c r="B95" s="38" t="s">
        <v>136</v>
      </c>
      <c r="C95" s="36"/>
      <c r="D95" s="210">
        <v>77439.97415406548</v>
      </c>
      <c r="E95" s="61">
        <v>100</v>
      </c>
      <c r="F95" s="62">
        <v>43.8</v>
      </c>
      <c r="G95" s="62">
        <v>7.7</v>
      </c>
      <c r="H95" s="62">
        <v>4</v>
      </c>
      <c r="I95" s="62">
        <v>15.2</v>
      </c>
      <c r="J95" s="62">
        <v>16.3</v>
      </c>
      <c r="K95" s="62">
        <v>12.9</v>
      </c>
    </row>
    <row r="96" spans="1:11" s="19" customFormat="1" ht="15.6" customHeight="1" x14ac:dyDescent="0.25">
      <c r="A96" s="37"/>
      <c r="B96" s="38" t="s">
        <v>192</v>
      </c>
      <c r="C96" s="36"/>
      <c r="D96" s="210">
        <v>71956.362176752053</v>
      </c>
      <c r="E96" s="61">
        <v>100</v>
      </c>
      <c r="F96" s="62">
        <v>44.504632492040884</v>
      </c>
      <c r="G96" s="62">
        <v>5.8690316074871651</v>
      </c>
      <c r="H96" s="62">
        <v>3.8830574318605011</v>
      </c>
      <c r="I96" s="62">
        <v>14.75120151014724</v>
      </c>
      <c r="J96" s="62">
        <v>17.233374477819069</v>
      </c>
      <c r="K96" s="62">
        <v>13.758702480645942</v>
      </c>
    </row>
    <row r="97" spans="1:11" s="19" customFormat="1" ht="15.6" customHeight="1" x14ac:dyDescent="0.25">
      <c r="A97" s="37"/>
      <c r="B97" s="38" t="s">
        <v>194</v>
      </c>
      <c r="C97" s="36"/>
      <c r="D97" s="210">
        <v>70595.373060230966</v>
      </c>
      <c r="E97" s="61">
        <v>100</v>
      </c>
      <c r="F97" s="62">
        <v>44.048309174088196</v>
      </c>
      <c r="G97" s="62">
        <v>4.4540195791528081</v>
      </c>
      <c r="H97" s="62">
        <v>4.0474692178674241</v>
      </c>
      <c r="I97" s="62">
        <v>17.118618802848601</v>
      </c>
      <c r="J97" s="62">
        <v>17.284399975148979</v>
      </c>
      <c r="K97" s="62">
        <v>13.047183250891255</v>
      </c>
    </row>
    <row r="98" spans="1:11" s="19" customFormat="1" ht="15.6" customHeight="1" x14ac:dyDescent="0.25">
      <c r="A98" s="37"/>
      <c r="B98" s="38" t="s">
        <v>205</v>
      </c>
      <c r="C98" s="36"/>
      <c r="D98" s="210">
        <f t="shared" ref="D98:K98" si="0">D$9</f>
        <v>64959.853079497778</v>
      </c>
      <c r="E98" s="61">
        <f t="shared" si="0"/>
        <v>100</v>
      </c>
      <c r="F98" s="62">
        <f t="shared" si="0"/>
        <v>44.892083341108687</v>
      </c>
      <c r="G98" s="62">
        <f t="shared" si="0"/>
        <v>4.5408001345506674</v>
      </c>
      <c r="H98" s="62">
        <f t="shared" si="0"/>
        <v>4.7431810861583239</v>
      </c>
      <c r="I98" s="62">
        <f t="shared" si="0"/>
        <v>17.073622556823693</v>
      </c>
      <c r="J98" s="62">
        <f t="shared" si="0"/>
        <v>16.84085164945504</v>
      </c>
      <c r="K98" s="62">
        <f t="shared" si="0"/>
        <v>11.909461231898081</v>
      </c>
    </row>
    <row r="99" spans="1:11" ht="5.0999999999999996" customHeight="1" x14ac:dyDescent="0.25">
      <c r="A99" s="111"/>
      <c r="B99" s="112"/>
      <c r="C99" s="113"/>
      <c r="D99" s="181"/>
      <c r="E99" s="117"/>
      <c r="F99" s="118"/>
      <c r="G99" s="118"/>
      <c r="H99" s="118"/>
      <c r="I99" s="118"/>
      <c r="J99" s="118"/>
      <c r="K99" s="118"/>
    </row>
  </sheetData>
  <mergeCells count="12">
    <mergeCell ref="A1:K1"/>
    <mergeCell ref="A3:K3"/>
    <mergeCell ref="A5:C7"/>
    <mergeCell ref="E5:E7"/>
    <mergeCell ref="F6:F7"/>
    <mergeCell ref="G6:G7"/>
    <mergeCell ref="H6:H7"/>
    <mergeCell ref="A2:K2"/>
    <mergeCell ref="I6:I7"/>
    <mergeCell ref="J6:J7"/>
    <mergeCell ref="K6:K7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F16-1171-45A2-ACBE-C4F8E4FE3915}">
  <sheetPr codeName="工作表17"/>
  <dimension ref="A1:P105"/>
  <sheetViews>
    <sheetView showGridLines="0" view="pageBreakPreview" zoomScaleNormal="100" zoomScaleSheetLayoutView="100" workbookViewId="0">
      <selection sqref="A1:P1"/>
    </sheetView>
  </sheetViews>
  <sheetFormatPr defaultColWidth="9" defaultRowHeight="11.1" customHeight="1" x14ac:dyDescent="0.25"/>
  <cols>
    <col min="1" max="1" width="1.375" style="18" customWidth="1"/>
    <col min="2" max="2" width="14.25" style="44" customWidth="1"/>
    <col min="3" max="3" width="2.25" style="45" customWidth="1"/>
    <col min="4" max="5" width="7.5" style="46" customWidth="1"/>
    <col min="6" max="7" width="5.125" style="134" customWidth="1"/>
    <col min="8" max="16" width="5.125" style="47" customWidth="1"/>
    <col min="17" max="16384" width="9" style="46"/>
  </cols>
  <sheetData>
    <row r="1" spans="1:16" s="14" customFormat="1" ht="22.15" customHeight="1" x14ac:dyDescent="0.25">
      <c r="A1" s="255" t="s">
        <v>260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1:16" s="19" customFormat="1" ht="13.5" customHeight="1" x14ac:dyDescent="0.25">
      <c r="A3" s="257" t="s">
        <v>208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</row>
    <row r="4" spans="1:16" s="122" customFormat="1" ht="13.5" x14ac:dyDescent="0.25">
      <c r="A4" s="24"/>
      <c r="B4" s="24"/>
      <c r="C4" s="24"/>
      <c r="D4" s="24"/>
      <c r="E4" s="24"/>
      <c r="F4" s="197"/>
      <c r="G4" s="197"/>
      <c r="H4" s="120"/>
      <c r="I4" s="121"/>
      <c r="J4" s="121"/>
      <c r="K4" s="121"/>
      <c r="L4" s="121"/>
      <c r="M4" s="121"/>
      <c r="N4" s="121"/>
      <c r="O4" s="45"/>
      <c r="P4" s="45" t="s">
        <v>170</v>
      </c>
    </row>
    <row r="5" spans="1:16" s="19" customFormat="1" ht="8.25" customHeight="1" x14ac:dyDescent="0.25">
      <c r="A5" s="258" t="s">
        <v>21</v>
      </c>
      <c r="B5" s="258"/>
      <c r="C5" s="259"/>
      <c r="D5" s="264" t="s">
        <v>198</v>
      </c>
      <c r="E5" s="274"/>
      <c r="F5" s="264" t="s">
        <v>71</v>
      </c>
      <c r="G5" s="274"/>
      <c r="H5" s="264" t="s">
        <v>81</v>
      </c>
      <c r="I5" s="51"/>
      <c r="J5" s="51"/>
      <c r="K5" s="51"/>
      <c r="L5" s="51"/>
      <c r="M5" s="51"/>
      <c r="N5" s="51"/>
      <c r="O5" s="51"/>
      <c r="P5" s="51"/>
    </row>
    <row r="6" spans="1:16" s="19" customFormat="1" ht="14.25" customHeight="1" x14ac:dyDescent="0.25">
      <c r="A6" s="260"/>
      <c r="B6" s="260"/>
      <c r="C6" s="261"/>
      <c r="D6" s="265"/>
      <c r="E6" s="275"/>
      <c r="F6" s="265"/>
      <c r="G6" s="275"/>
      <c r="H6" s="265"/>
      <c r="I6" s="267" t="s">
        <v>120</v>
      </c>
      <c r="J6" s="267" t="s">
        <v>144</v>
      </c>
      <c r="K6" s="267" t="s">
        <v>171</v>
      </c>
      <c r="L6" s="267" t="s">
        <v>172</v>
      </c>
      <c r="M6" s="267" t="s">
        <v>173</v>
      </c>
      <c r="N6" s="267" t="s">
        <v>174</v>
      </c>
      <c r="O6" s="267" t="s">
        <v>175</v>
      </c>
      <c r="P6" s="272" t="s">
        <v>149</v>
      </c>
    </row>
    <row r="7" spans="1:16" s="19" customFormat="1" ht="25.5" customHeight="1" x14ac:dyDescent="0.25">
      <c r="A7" s="262"/>
      <c r="B7" s="262"/>
      <c r="C7" s="263"/>
      <c r="D7" s="131" t="s">
        <v>199</v>
      </c>
      <c r="E7" s="131" t="s">
        <v>200</v>
      </c>
      <c r="F7" s="131" t="s">
        <v>199</v>
      </c>
      <c r="G7" s="131" t="s">
        <v>200</v>
      </c>
      <c r="H7" s="266"/>
      <c r="I7" s="268"/>
      <c r="J7" s="268"/>
      <c r="K7" s="268"/>
      <c r="L7" s="268"/>
      <c r="M7" s="268"/>
      <c r="N7" s="268"/>
      <c r="O7" s="268"/>
      <c r="P7" s="273"/>
    </row>
    <row r="8" spans="1:16" s="19" customFormat="1" ht="4.5" customHeight="1" x14ac:dyDescent="0.25">
      <c r="A8" s="30"/>
      <c r="B8" s="31"/>
      <c r="C8" s="77"/>
      <c r="D8" s="198"/>
      <c r="E8" s="198"/>
      <c r="F8" s="133"/>
      <c r="G8" s="133"/>
      <c r="H8" s="80"/>
      <c r="I8" s="81"/>
      <c r="J8" s="81"/>
      <c r="K8" s="81"/>
      <c r="L8" s="81"/>
      <c r="M8" s="81"/>
      <c r="N8" s="81"/>
      <c r="O8" s="81"/>
      <c r="P8" s="81"/>
    </row>
    <row r="9" spans="1:16" s="19" customFormat="1" ht="15.95" customHeight="1" x14ac:dyDescent="0.25">
      <c r="A9" s="33" t="s">
        <v>22</v>
      </c>
      <c r="B9" s="34"/>
      <c r="C9" s="36"/>
      <c r="D9" s="55">
        <v>34236.000000002343</v>
      </c>
      <c r="E9" s="55">
        <v>26053.682688391149</v>
      </c>
      <c r="F9" s="199">
        <v>1.8974136312504635</v>
      </c>
      <c r="G9" s="199">
        <v>2.4933079080002671</v>
      </c>
      <c r="H9" s="57">
        <v>100</v>
      </c>
      <c r="I9" s="58">
        <v>23.899746791706477</v>
      </c>
      <c r="J9" s="58">
        <v>3.1482411422630538</v>
      </c>
      <c r="K9" s="58">
        <v>53.15981932653078</v>
      </c>
      <c r="L9" s="58">
        <v>7.4561503993073428</v>
      </c>
      <c r="M9" s="58">
        <v>8.1264484024119987</v>
      </c>
      <c r="N9" s="58">
        <v>1.7539527365152914</v>
      </c>
      <c r="O9" s="58">
        <v>1.4486247830608225</v>
      </c>
      <c r="P9" s="58">
        <v>1.0070164181978154</v>
      </c>
    </row>
    <row r="10" spans="1:16" s="19" customFormat="1" ht="15.95" customHeight="1" x14ac:dyDescent="0.25">
      <c r="A10" s="37" t="s">
        <v>23</v>
      </c>
      <c r="B10" s="38"/>
      <c r="C10" s="36" t="s">
        <v>19</v>
      </c>
      <c r="D10" s="36"/>
      <c r="E10" s="36"/>
      <c r="F10" s="200"/>
      <c r="G10" s="200"/>
      <c r="H10" s="61"/>
      <c r="I10" s="62"/>
      <c r="J10" s="62"/>
      <c r="K10" s="62"/>
      <c r="L10" s="62"/>
      <c r="M10" s="62"/>
      <c r="N10" s="62"/>
      <c r="O10" s="62"/>
      <c r="P10" s="62"/>
    </row>
    <row r="11" spans="1:16" s="19" customFormat="1" ht="15.95" customHeight="1" x14ac:dyDescent="0.25">
      <c r="A11" s="37"/>
      <c r="B11" s="38" t="s">
        <v>24</v>
      </c>
      <c r="C11" s="36"/>
      <c r="D11" s="36">
        <v>5980.4970728673106</v>
      </c>
      <c r="E11" s="36">
        <v>4599.2690931745465</v>
      </c>
      <c r="F11" s="200">
        <v>1.7090643532017769</v>
      </c>
      <c r="G11" s="200">
        <v>2.222321450343804</v>
      </c>
      <c r="H11" s="61">
        <v>100</v>
      </c>
      <c r="I11" s="62">
        <v>23.09553809430319</v>
      </c>
      <c r="J11" s="62">
        <v>4.0883151290438846</v>
      </c>
      <c r="K11" s="62">
        <v>59.031166910854317</v>
      </c>
      <c r="L11" s="62">
        <v>8.9152439407080504</v>
      </c>
      <c r="M11" s="62">
        <v>3.3578633483973519</v>
      </c>
      <c r="N11" s="62">
        <v>0.87140283404448371</v>
      </c>
      <c r="O11" s="62">
        <v>0.45143557555103303</v>
      </c>
      <c r="P11" s="62">
        <v>0.18903416709740578</v>
      </c>
    </row>
    <row r="12" spans="1:16" s="19" customFormat="1" ht="15.95" customHeight="1" x14ac:dyDescent="0.25">
      <c r="A12" s="37"/>
      <c r="B12" s="38" t="s">
        <v>25</v>
      </c>
      <c r="C12" s="36"/>
      <c r="D12" s="36">
        <v>3636.2279243168505</v>
      </c>
      <c r="E12" s="36">
        <v>2843.4293570069572</v>
      </c>
      <c r="F12" s="200">
        <v>1.845055306370925</v>
      </c>
      <c r="G12" s="200">
        <v>2.3594894701365088</v>
      </c>
      <c r="H12" s="61">
        <v>100</v>
      </c>
      <c r="I12" s="62">
        <v>21.802774298281715</v>
      </c>
      <c r="J12" s="62">
        <v>3.4924319289712522</v>
      </c>
      <c r="K12" s="62">
        <v>56.226810273118723</v>
      </c>
      <c r="L12" s="62">
        <v>9.3243364545200986</v>
      </c>
      <c r="M12" s="62">
        <v>6.9295423943558738</v>
      </c>
      <c r="N12" s="62">
        <v>1.0557348849672292</v>
      </c>
      <c r="O12" s="62">
        <v>0.68024791379080995</v>
      </c>
      <c r="P12" s="62">
        <v>0.48812185199422603</v>
      </c>
    </row>
    <row r="13" spans="1:16" s="19" customFormat="1" ht="15.95" customHeight="1" x14ac:dyDescent="0.25">
      <c r="A13" s="37"/>
      <c r="B13" s="38" t="s">
        <v>26</v>
      </c>
      <c r="C13" s="36"/>
      <c r="D13" s="36">
        <v>3357.9804981999582</v>
      </c>
      <c r="E13" s="36">
        <v>2655.230118970449</v>
      </c>
      <c r="F13" s="200">
        <v>1.998283884552867</v>
      </c>
      <c r="G13" s="200">
        <v>2.5271626237795264</v>
      </c>
      <c r="H13" s="61">
        <v>100</v>
      </c>
      <c r="I13" s="62">
        <v>20.927768329989732</v>
      </c>
      <c r="J13" s="62">
        <v>3.0051656847765242</v>
      </c>
      <c r="K13" s="62">
        <v>55.030293253408047</v>
      </c>
      <c r="L13" s="62">
        <v>6.789975951642198</v>
      </c>
      <c r="M13" s="62">
        <v>9.3593106454133483</v>
      </c>
      <c r="N13" s="62">
        <v>1.8122053985554556</v>
      </c>
      <c r="O13" s="62">
        <v>2.1836860436403756</v>
      </c>
      <c r="P13" s="62">
        <v>0.89159469257465118</v>
      </c>
    </row>
    <row r="14" spans="1:16" s="19" customFormat="1" ht="15.95" customHeight="1" x14ac:dyDescent="0.25">
      <c r="A14" s="37"/>
      <c r="B14" s="38" t="s">
        <v>27</v>
      </c>
      <c r="C14" s="36"/>
      <c r="D14" s="36">
        <v>4082.867595232331</v>
      </c>
      <c r="E14" s="36">
        <v>3084.5769542256307</v>
      </c>
      <c r="F14" s="200">
        <v>1.7237497393698646</v>
      </c>
      <c r="G14" s="200">
        <v>2.2816230742832011</v>
      </c>
      <c r="H14" s="61">
        <v>100</v>
      </c>
      <c r="I14" s="62">
        <v>24.450722873610545</v>
      </c>
      <c r="J14" s="62">
        <v>5.4733599569329225</v>
      </c>
      <c r="K14" s="62">
        <v>55.504821366152569</v>
      </c>
      <c r="L14" s="62">
        <v>7.5684760039266923</v>
      </c>
      <c r="M14" s="62">
        <v>4.494240967347551</v>
      </c>
      <c r="N14" s="62">
        <v>1.206398548366322</v>
      </c>
      <c r="O14" s="62">
        <v>0.87575222564126687</v>
      </c>
      <c r="P14" s="62">
        <v>0.42622805802226738</v>
      </c>
    </row>
    <row r="15" spans="1:16" s="19" customFormat="1" ht="15.95" customHeight="1" x14ac:dyDescent="0.25">
      <c r="A15" s="37"/>
      <c r="B15" s="38" t="s">
        <v>28</v>
      </c>
      <c r="C15" s="36"/>
      <c r="D15" s="36">
        <v>2740.293166317872</v>
      </c>
      <c r="E15" s="36">
        <v>2138.8136259029334</v>
      </c>
      <c r="F15" s="200">
        <v>2.1549583118567277</v>
      </c>
      <c r="G15" s="200">
        <v>2.7609780787645342</v>
      </c>
      <c r="H15" s="61">
        <v>100</v>
      </c>
      <c r="I15" s="62">
        <v>21.949459561771963</v>
      </c>
      <c r="J15" s="62">
        <v>2.1300494866891517</v>
      </c>
      <c r="K15" s="62">
        <v>48.20556547487989</v>
      </c>
      <c r="L15" s="62">
        <v>7.5157396471007312</v>
      </c>
      <c r="M15" s="62">
        <v>13.58919394448543</v>
      </c>
      <c r="N15" s="62">
        <v>2.6649929815639206</v>
      </c>
      <c r="O15" s="62">
        <v>2.0418351646766912</v>
      </c>
      <c r="P15" s="62">
        <v>1.9031637388325591</v>
      </c>
    </row>
    <row r="16" spans="1:16" s="19" customFormat="1" ht="15.95" customHeight="1" x14ac:dyDescent="0.25">
      <c r="A16" s="37"/>
      <c r="B16" s="38" t="s">
        <v>29</v>
      </c>
      <c r="C16" s="36"/>
      <c r="D16" s="36">
        <v>4037.8334641233828</v>
      </c>
      <c r="E16" s="36">
        <v>3125.0223193393726</v>
      </c>
      <c r="F16" s="200">
        <v>2.0870997864507936</v>
      </c>
      <c r="G16" s="200">
        <v>2.6967363748228586</v>
      </c>
      <c r="H16" s="61">
        <v>100</v>
      </c>
      <c r="I16" s="62">
        <v>22.606458460816668</v>
      </c>
      <c r="J16" s="62">
        <v>1.1421035689019787</v>
      </c>
      <c r="K16" s="62">
        <v>51.256823618172568</v>
      </c>
      <c r="L16" s="62">
        <v>6.3096087890352734</v>
      </c>
      <c r="M16" s="62">
        <v>12.280992967341831</v>
      </c>
      <c r="N16" s="62">
        <v>3.3151108419124999</v>
      </c>
      <c r="O16" s="62">
        <v>1.8954176257913775</v>
      </c>
      <c r="P16" s="62">
        <v>1.1934841280277486</v>
      </c>
    </row>
    <row r="17" spans="1:16" s="19" customFormat="1" ht="15.95" customHeight="1" x14ac:dyDescent="0.25">
      <c r="A17" s="37"/>
      <c r="B17" s="38" t="s">
        <v>30</v>
      </c>
      <c r="C17" s="36"/>
      <c r="D17" s="36">
        <v>662.92572577318674</v>
      </c>
      <c r="E17" s="36">
        <v>488.62264718754921</v>
      </c>
      <c r="F17" s="200">
        <v>2.1027592058527098</v>
      </c>
      <c r="G17" s="200">
        <v>2.8528623891866101</v>
      </c>
      <c r="H17" s="61">
        <v>100</v>
      </c>
      <c r="I17" s="62">
        <v>26.293002641034484</v>
      </c>
      <c r="J17" s="62">
        <v>1.0391703887807173</v>
      </c>
      <c r="K17" s="62">
        <v>48.567799322922873</v>
      </c>
      <c r="L17" s="62">
        <v>4.5863939341779192</v>
      </c>
      <c r="M17" s="62">
        <v>12.695595316031961</v>
      </c>
      <c r="N17" s="62">
        <v>1.6156490010661801</v>
      </c>
      <c r="O17" s="62">
        <v>1.7646357173288858</v>
      </c>
      <c r="P17" s="62">
        <v>3.4377536786575198</v>
      </c>
    </row>
    <row r="18" spans="1:16" s="19" customFormat="1" ht="15.95" customHeight="1" x14ac:dyDescent="0.25">
      <c r="A18" s="37"/>
      <c r="B18" s="38" t="s">
        <v>31</v>
      </c>
      <c r="C18" s="36"/>
      <c r="D18" s="36">
        <v>837.20173510160305</v>
      </c>
      <c r="E18" s="36">
        <v>652.14225563768071</v>
      </c>
      <c r="F18" s="200">
        <v>1.9922165232512947</v>
      </c>
      <c r="G18" s="200">
        <v>2.5575510796078782</v>
      </c>
      <c r="H18" s="61">
        <v>100</v>
      </c>
      <c r="I18" s="62">
        <v>22.104526508352237</v>
      </c>
      <c r="J18" s="62">
        <v>2.3408615898770453</v>
      </c>
      <c r="K18" s="62">
        <v>54.095754594118461</v>
      </c>
      <c r="L18" s="62">
        <v>6.3605473130593637</v>
      </c>
      <c r="M18" s="62">
        <v>10.412952250121934</v>
      </c>
      <c r="N18" s="62">
        <v>1.8745116678841203</v>
      </c>
      <c r="O18" s="62">
        <v>1.8988749287748821</v>
      </c>
      <c r="P18" s="62">
        <v>0.91197114781147814</v>
      </c>
    </row>
    <row r="19" spans="1:16" s="19" customFormat="1" ht="15.95" customHeight="1" x14ac:dyDescent="0.25">
      <c r="A19" s="37"/>
      <c r="B19" s="38" t="s">
        <v>32</v>
      </c>
      <c r="C19" s="36"/>
      <c r="D19" s="36">
        <v>784.81580450818956</v>
      </c>
      <c r="E19" s="36">
        <v>577.52162039788959</v>
      </c>
      <c r="F19" s="200">
        <v>1.9927754207841204</v>
      </c>
      <c r="G19" s="200">
        <v>2.7080573087278146</v>
      </c>
      <c r="H19" s="61">
        <v>100</v>
      </c>
      <c r="I19" s="62">
        <v>26.413100108273674</v>
      </c>
      <c r="J19" s="62">
        <v>1.4775604475507695</v>
      </c>
      <c r="K19" s="62">
        <v>49.145501507870669</v>
      </c>
      <c r="L19" s="62">
        <v>8.141874335559141</v>
      </c>
      <c r="M19" s="62">
        <v>9.3559418111367556</v>
      </c>
      <c r="N19" s="62">
        <v>1.2353293023373548</v>
      </c>
      <c r="O19" s="62">
        <v>1.6241693341164529</v>
      </c>
      <c r="P19" s="62">
        <v>2.6065231531554338</v>
      </c>
    </row>
    <row r="20" spans="1:16" s="19" customFormat="1" ht="15.95" customHeight="1" x14ac:dyDescent="0.25">
      <c r="A20" s="37"/>
      <c r="B20" s="38" t="s">
        <v>33</v>
      </c>
      <c r="C20" s="36"/>
      <c r="D20" s="36">
        <v>1775.9602684124147</v>
      </c>
      <c r="E20" s="36">
        <v>1308.2402233263022</v>
      </c>
      <c r="F20" s="200">
        <v>1.6640983768887176</v>
      </c>
      <c r="G20" s="200">
        <v>2.2590442851311257</v>
      </c>
      <c r="H20" s="61">
        <v>100</v>
      </c>
      <c r="I20" s="62">
        <v>26.336177301096075</v>
      </c>
      <c r="J20" s="62">
        <v>4.6209870476673389</v>
      </c>
      <c r="K20" s="62">
        <v>55.416903540380474</v>
      </c>
      <c r="L20" s="62">
        <v>7.3845904417000838</v>
      </c>
      <c r="M20" s="62">
        <v>4.1081206485364774</v>
      </c>
      <c r="N20" s="62">
        <v>0.86217890774782235</v>
      </c>
      <c r="O20" s="62">
        <v>1.0130628447353673</v>
      </c>
      <c r="P20" s="62">
        <v>0.25797926813657385</v>
      </c>
    </row>
    <row r="21" spans="1:16" s="19" customFormat="1" ht="15.95" customHeight="1" x14ac:dyDescent="0.25">
      <c r="A21" s="37"/>
      <c r="B21" s="38" t="s">
        <v>34</v>
      </c>
      <c r="C21" s="36"/>
      <c r="D21" s="36">
        <v>705.41404513386442</v>
      </c>
      <c r="E21" s="36">
        <v>508.99962914017777</v>
      </c>
      <c r="F21" s="200">
        <v>2.0751632716418622</v>
      </c>
      <c r="G21" s="200">
        <v>2.8759339574272427</v>
      </c>
      <c r="H21" s="61">
        <v>100</v>
      </c>
      <c r="I21" s="62">
        <v>27.843848212069105</v>
      </c>
      <c r="J21" s="62">
        <v>0.96454661568028066</v>
      </c>
      <c r="K21" s="62">
        <v>43.771767996008094</v>
      </c>
      <c r="L21" s="62">
        <v>6.8907167897754924</v>
      </c>
      <c r="M21" s="62">
        <v>12.788865198498351</v>
      </c>
      <c r="N21" s="62">
        <v>2.1928009280528662</v>
      </c>
      <c r="O21" s="62">
        <v>4.238165120109862</v>
      </c>
      <c r="P21" s="62">
        <v>1.3092891398061737</v>
      </c>
    </row>
    <row r="22" spans="1:16" s="19" customFormat="1" ht="15.95" customHeight="1" x14ac:dyDescent="0.25">
      <c r="A22" s="37"/>
      <c r="B22" s="38" t="s">
        <v>35</v>
      </c>
      <c r="C22" s="36"/>
      <c r="D22" s="36">
        <v>978.05836046228183</v>
      </c>
      <c r="E22" s="36">
        <v>696.44176415866764</v>
      </c>
      <c r="F22" s="200">
        <v>2.0453903005801228</v>
      </c>
      <c r="G22" s="200">
        <v>2.8724743213921902</v>
      </c>
      <c r="H22" s="61">
        <v>100</v>
      </c>
      <c r="I22" s="62">
        <v>28.793434797746379</v>
      </c>
      <c r="J22" s="62">
        <v>1.3282313485633876</v>
      </c>
      <c r="K22" s="62">
        <v>44.958577842207596</v>
      </c>
      <c r="L22" s="62">
        <v>5.6910045186777714</v>
      </c>
      <c r="M22" s="62">
        <v>12.142648639990279</v>
      </c>
      <c r="N22" s="62">
        <v>1.4200850603033202</v>
      </c>
      <c r="O22" s="62">
        <v>2.8218806499118521</v>
      </c>
      <c r="P22" s="62">
        <v>2.8441371425995396</v>
      </c>
    </row>
    <row r="23" spans="1:16" s="19" customFormat="1" ht="15.95" customHeight="1" x14ac:dyDescent="0.25">
      <c r="A23" s="37"/>
      <c r="B23" s="38" t="s">
        <v>36</v>
      </c>
      <c r="C23" s="36"/>
      <c r="D23" s="36">
        <v>728.88267633203054</v>
      </c>
      <c r="E23" s="36">
        <v>518.9938304308987</v>
      </c>
      <c r="F23" s="200">
        <v>1.8747771935530577</v>
      </c>
      <c r="G23" s="200">
        <v>2.63296505322359</v>
      </c>
      <c r="H23" s="61">
        <v>100</v>
      </c>
      <c r="I23" s="62">
        <v>28.795971247027126</v>
      </c>
      <c r="J23" s="62">
        <v>2.3157562192736161</v>
      </c>
      <c r="K23" s="62">
        <v>47.246801863450784</v>
      </c>
      <c r="L23" s="62">
        <v>4.6941112109035137</v>
      </c>
      <c r="M23" s="62">
        <v>11.673005002898549</v>
      </c>
      <c r="N23" s="62">
        <v>3.4549700049598986</v>
      </c>
      <c r="O23" s="62">
        <v>1.0744720717536964</v>
      </c>
      <c r="P23" s="62">
        <v>0.7449123797330206</v>
      </c>
    </row>
    <row r="24" spans="1:16" s="19" customFormat="1" ht="15.95" customHeight="1" x14ac:dyDescent="0.25">
      <c r="A24" s="37"/>
      <c r="B24" s="38" t="s">
        <v>37</v>
      </c>
      <c r="C24" s="36"/>
      <c r="D24" s="36">
        <v>1179.6142455826673</v>
      </c>
      <c r="E24" s="36">
        <v>812.41873127822464</v>
      </c>
      <c r="F24" s="200">
        <v>1.6167795730136874</v>
      </c>
      <c r="G24" s="200">
        <v>2.3475286116228991</v>
      </c>
      <c r="H24" s="61">
        <v>100</v>
      </c>
      <c r="I24" s="62">
        <v>31.128440138756478</v>
      </c>
      <c r="J24" s="62">
        <v>3.9054158020840459</v>
      </c>
      <c r="K24" s="62">
        <v>51.75216685897886</v>
      </c>
      <c r="L24" s="62">
        <v>4.7640874608361372</v>
      </c>
      <c r="M24" s="62">
        <v>4.6877809549158105</v>
      </c>
      <c r="N24" s="62">
        <v>2.1951000315863882</v>
      </c>
      <c r="O24" s="62">
        <v>0.71973984867386076</v>
      </c>
      <c r="P24" s="62">
        <v>0.84726890416862632</v>
      </c>
    </row>
    <row r="25" spans="1:16" s="19" customFormat="1" ht="15.95" customHeight="1" x14ac:dyDescent="0.25">
      <c r="A25" s="37"/>
      <c r="B25" s="38" t="s">
        <v>38</v>
      </c>
      <c r="C25" s="36"/>
      <c r="D25" s="36">
        <v>310.98593414410072</v>
      </c>
      <c r="E25" s="36">
        <v>201.74328950818625</v>
      </c>
      <c r="F25" s="200">
        <v>1.7992119941550475</v>
      </c>
      <c r="G25" s="200">
        <v>2.7734732792828449</v>
      </c>
      <c r="H25" s="61">
        <v>100</v>
      </c>
      <c r="I25" s="62">
        <v>35.127841050616183</v>
      </c>
      <c r="J25" s="62">
        <v>2.0438178789986274</v>
      </c>
      <c r="K25" s="62">
        <v>41.322407245816542</v>
      </c>
      <c r="L25" s="62">
        <v>4.8602772762405921</v>
      </c>
      <c r="M25" s="62">
        <v>9.6447641010268299</v>
      </c>
      <c r="N25" s="62">
        <v>1.6529501734310197</v>
      </c>
      <c r="O25" s="62">
        <v>4.5002927162915496</v>
      </c>
      <c r="P25" s="62">
        <v>0.84764955757845584</v>
      </c>
    </row>
    <row r="26" spans="1:16" s="19" customFormat="1" ht="15.95" customHeight="1" x14ac:dyDescent="0.25">
      <c r="A26" s="37"/>
      <c r="B26" s="38" t="s">
        <v>39</v>
      </c>
      <c r="C26" s="36"/>
      <c r="D26" s="36">
        <v>466.47308886056038</v>
      </c>
      <c r="E26" s="36">
        <v>332.62720320349166</v>
      </c>
      <c r="F26" s="200">
        <v>2.0411618890414709</v>
      </c>
      <c r="G26" s="200">
        <v>2.8625051771942278</v>
      </c>
      <c r="H26" s="61">
        <v>100</v>
      </c>
      <c r="I26" s="62">
        <v>28.693163411422134</v>
      </c>
      <c r="J26" s="62">
        <v>2.0370469653861645</v>
      </c>
      <c r="K26" s="62">
        <v>40.424644972792102</v>
      </c>
      <c r="L26" s="62">
        <v>9.6059869189801947</v>
      </c>
      <c r="M26" s="62">
        <v>12.931717786747258</v>
      </c>
      <c r="N26" s="62">
        <v>2.0424399563930065</v>
      </c>
      <c r="O26" s="62">
        <v>2.0645235198447867</v>
      </c>
      <c r="P26" s="62">
        <v>2.2004764684342648</v>
      </c>
    </row>
    <row r="27" spans="1:16" s="19" customFormat="1" ht="15.95" customHeight="1" x14ac:dyDescent="0.25">
      <c r="A27" s="37"/>
      <c r="B27" s="38" t="s">
        <v>40</v>
      </c>
      <c r="C27" s="36"/>
      <c r="D27" s="36">
        <v>162.01858172625484</v>
      </c>
      <c r="E27" s="36">
        <v>119.64192102222134</v>
      </c>
      <c r="F27" s="200">
        <v>1.74257158520291</v>
      </c>
      <c r="G27" s="200">
        <v>2.3597830457654521</v>
      </c>
      <c r="H27" s="61">
        <v>100</v>
      </c>
      <c r="I27" s="62">
        <v>26.15543245257529</v>
      </c>
      <c r="J27" s="62">
        <v>3.6015236137300377</v>
      </c>
      <c r="K27" s="62">
        <v>54.490036758802326</v>
      </c>
      <c r="L27" s="62">
        <v>7.6770106971557546</v>
      </c>
      <c r="M27" s="62">
        <v>4.715265120802477</v>
      </c>
      <c r="N27" s="62">
        <v>0.58720840125226892</v>
      </c>
      <c r="O27" s="62">
        <v>2.6625648250563012</v>
      </c>
      <c r="P27" s="62">
        <v>0.11095813062412535</v>
      </c>
    </row>
    <row r="28" spans="1:16" s="19" customFormat="1" ht="15.95" customHeight="1" x14ac:dyDescent="0.25">
      <c r="A28" s="37"/>
      <c r="B28" s="38" t="s">
        <v>41</v>
      </c>
      <c r="C28" s="36"/>
      <c r="D28" s="36">
        <v>543.40044542669193</v>
      </c>
      <c r="E28" s="36">
        <v>400.46908408399605</v>
      </c>
      <c r="F28" s="200">
        <v>1.8425739301944664</v>
      </c>
      <c r="G28" s="200">
        <v>2.500206718052862</v>
      </c>
      <c r="H28" s="61">
        <v>100</v>
      </c>
      <c r="I28" s="62">
        <v>26.303136581064539</v>
      </c>
      <c r="J28" s="62">
        <v>2.5210474223391044</v>
      </c>
      <c r="K28" s="62">
        <v>51.827782954988642</v>
      </c>
      <c r="L28" s="62">
        <v>6.9115840852419854</v>
      </c>
      <c r="M28" s="62">
        <v>8.8365969002787086</v>
      </c>
      <c r="N28" s="62">
        <v>1.3192141796332428</v>
      </c>
      <c r="O28" s="62">
        <v>0.59258665409054445</v>
      </c>
      <c r="P28" s="62">
        <v>1.6880512223631232</v>
      </c>
    </row>
    <row r="29" spans="1:16" s="19" customFormat="1" ht="15.95" customHeight="1" x14ac:dyDescent="0.25">
      <c r="A29" s="37"/>
      <c r="B29" s="38" t="s">
        <v>42</v>
      </c>
      <c r="C29" s="36"/>
      <c r="D29" s="36">
        <v>641.70564585172906</v>
      </c>
      <c r="E29" s="36">
        <v>505.21698262989457</v>
      </c>
      <c r="F29" s="200">
        <v>2.2256892855113359</v>
      </c>
      <c r="G29" s="200">
        <v>2.8269781688447422</v>
      </c>
      <c r="H29" s="61">
        <v>100</v>
      </c>
      <c r="I29" s="62">
        <v>21.269668438193996</v>
      </c>
      <c r="J29" s="62">
        <v>3.537368025269684</v>
      </c>
      <c r="K29" s="62">
        <v>49.102116938294316</v>
      </c>
      <c r="L29" s="62">
        <v>6.1009318235427541</v>
      </c>
      <c r="M29" s="62">
        <v>10.712848515295269</v>
      </c>
      <c r="N29" s="62">
        <v>2.1471121468541043</v>
      </c>
      <c r="O29" s="62">
        <v>3.7994980911785108</v>
      </c>
      <c r="P29" s="62">
        <v>3.3304560213716381</v>
      </c>
    </row>
    <row r="30" spans="1:16" s="19" customFormat="1" ht="15.95" customHeight="1" x14ac:dyDescent="0.25">
      <c r="A30" s="37"/>
      <c r="B30" s="38" t="s">
        <v>43</v>
      </c>
      <c r="C30" s="36"/>
      <c r="D30" s="36">
        <v>382.26534175006776</v>
      </c>
      <c r="E30" s="36">
        <v>309.05604515771296</v>
      </c>
      <c r="F30" s="200">
        <v>2.4247590139733406</v>
      </c>
      <c r="G30" s="200">
        <v>2.9991367186009055</v>
      </c>
      <c r="H30" s="61">
        <v>100</v>
      </c>
      <c r="I30" s="62">
        <v>19.151434513313255</v>
      </c>
      <c r="J30" s="62">
        <v>1.7466019132867427</v>
      </c>
      <c r="K30" s="62">
        <v>42.098953661898939</v>
      </c>
      <c r="L30" s="62">
        <v>11.83615836987649</v>
      </c>
      <c r="M30" s="62">
        <v>14.829575733924331</v>
      </c>
      <c r="N30" s="62">
        <v>5.3534243174584173</v>
      </c>
      <c r="O30" s="62">
        <v>2.6475082613098215</v>
      </c>
      <c r="P30" s="62">
        <v>2.3363432289326052</v>
      </c>
    </row>
    <row r="31" spans="1:16" s="19" customFormat="1" ht="15.95" customHeight="1" x14ac:dyDescent="0.25">
      <c r="A31" s="37"/>
      <c r="B31" s="38" t="s">
        <v>44</v>
      </c>
      <c r="C31" s="36"/>
      <c r="D31" s="36">
        <v>219.73693340495529</v>
      </c>
      <c r="E31" s="36">
        <v>164.06020251490511</v>
      </c>
      <c r="F31" s="200">
        <v>2.0582944410931838</v>
      </c>
      <c r="G31" s="200">
        <v>2.7568130576285981</v>
      </c>
      <c r="H31" s="61">
        <v>100</v>
      </c>
      <c r="I31" s="62">
        <v>25.337902931157458</v>
      </c>
      <c r="J31" s="62">
        <v>4.237191526578771</v>
      </c>
      <c r="K31" s="62">
        <v>45.843443799338253</v>
      </c>
      <c r="L31" s="62">
        <v>6.4310463945580025</v>
      </c>
      <c r="M31" s="62">
        <v>10.90498547115082</v>
      </c>
      <c r="N31" s="62">
        <v>1.8352532167730231</v>
      </c>
      <c r="O31" s="62">
        <v>2.0854532211923411</v>
      </c>
      <c r="P31" s="62">
        <v>3.3247234392512701</v>
      </c>
    </row>
    <row r="32" spans="1:16" s="19" customFormat="1" ht="15.95" customHeight="1" x14ac:dyDescent="0.25">
      <c r="A32" s="37"/>
      <c r="B32" s="38" t="s">
        <v>45</v>
      </c>
      <c r="C32" s="36"/>
      <c r="D32" s="36">
        <v>20.84144647162276</v>
      </c>
      <c r="E32" s="36">
        <v>11.145790093045708</v>
      </c>
      <c r="F32" s="200">
        <v>1.306576098261149</v>
      </c>
      <c r="G32" s="200">
        <v>2.4431588595950586</v>
      </c>
      <c r="H32" s="61">
        <v>100</v>
      </c>
      <c r="I32" s="62">
        <v>46.521033901262307</v>
      </c>
      <c r="J32" s="62">
        <v>2.3824188776823956</v>
      </c>
      <c r="K32" s="62">
        <v>39.990939561208023</v>
      </c>
      <c r="L32" s="62">
        <v>4.2517487850222899</v>
      </c>
      <c r="M32" s="62">
        <v>4.223224358708225</v>
      </c>
      <c r="N32" s="62">
        <v>0.36300496243912223</v>
      </c>
      <c r="O32" s="62">
        <v>1.2080439731929284</v>
      </c>
      <c r="P32" s="62">
        <v>1.0595855804848568</v>
      </c>
    </row>
    <row r="33" spans="1:16" s="19" customFormat="1" ht="15.95" customHeight="1" x14ac:dyDescent="0.25">
      <c r="A33" s="37" t="s">
        <v>232</v>
      </c>
      <c r="B33" s="38"/>
      <c r="C33" s="36" t="s">
        <v>92</v>
      </c>
      <c r="D33" s="60"/>
      <c r="E33" s="60"/>
      <c r="F33" s="200"/>
      <c r="G33" s="200"/>
      <c r="H33" s="61"/>
    </row>
    <row r="34" spans="1:16" s="19" customFormat="1" ht="15.95" customHeight="1" x14ac:dyDescent="0.25">
      <c r="A34" s="37"/>
      <c r="B34" s="38" t="s">
        <v>233</v>
      </c>
      <c r="C34" s="36"/>
      <c r="D34" s="36">
        <v>23835.699721057747</v>
      </c>
      <c r="E34" s="36">
        <v>18446.341468619892</v>
      </c>
      <c r="F34" s="200">
        <v>1.8883739801676906</v>
      </c>
      <c r="G34" s="200">
        <v>2.4400890132553377</v>
      </c>
      <c r="H34" s="61">
        <v>100</v>
      </c>
      <c r="I34" s="62">
        <v>22.610446999701761</v>
      </c>
      <c r="J34" s="62">
        <v>3.3578334990619978</v>
      </c>
      <c r="K34" s="62">
        <v>54.87410150509583</v>
      </c>
      <c r="L34" s="62">
        <v>7.8452563520510274</v>
      </c>
      <c r="M34" s="62">
        <v>7.6307321674835231</v>
      </c>
      <c r="N34" s="62">
        <v>1.7096187115179666</v>
      </c>
      <c r="O34" s="62">
        <v>1.2305201500136149</v>
      </c>
      <c r="P34" s="62">
        <v>0.74149061507408032</v>
      </c>
    </row>
    <row r="35" spans="1:16" s="19" customFormat="1" ht="15.95" customHeight="1" x14ac:dyDescent="0.25">
      <c r="A35" s="37"/>
      <c r="B35" s="38" t="s">
        <v>234</v>
      </c>
      <c r="C35" s="36"/>
      <c r="D35" s="36">
        <v>10400.300278941946</v>
      </c>
      <c r="E35" s="36">
        <v>7607.3412197708012</v>
      </c>
      <c r="F35" s="200">
        <v>1.9181309570022727</v>
      </c>
      <c r="G35" s="200">
        <v>2.622353507071812</v>
      </c>
      <c r="H35" s="61">
        <v>100</v>
      </c>
      <c r="I35" s="62">
        <v>26.854600196750336</v>
      </c>
      <c r="J35" s="62">
        <v>2.6678915036477662</v>
      </c>
      <c r="K35" s="62">
        <v>49.230979374856553</v>
      </c>
      <c r="L35" s="62">
        <v>6.5643864693722138</v>
      </c>
      <c r="M35" s="62">
        <v>9.2625447655673607</v>
      </c>
      <c r="N35" s="62">
        <v>1.8555586977783767</v>
      </c>
      <c r="O35" s="62">
        <v>1.9484830949996264</v>
      </c>
      <c r="P35" s="62">
        <v>1.61555589703069</v>
      </c>
    </row>
    <row r="36" spans="1:16" s="19" customFormat="1" ht="15.95" customHeight="1" x14ac:dyDescent="0.25">
      <c r="A36" s="37" t="s">
        <v>46</v>
      </c>
      <c r="B36" s="38"/>
      <c r="C36" s="36" t="s">
        <v>19</v>
      </c>
      <c r="D36" s="36"/>
      <c r="E36" s="36"/>
      <c r="F36" s="200"/>
      <c r="G36" s="200"/>
      <c r="H36" s="61"/>
      <c r="I36" s="62"/>
      <c r="J36" s="62"/>
      <c r="K36" s="62"/>
      <c r="L36" s="62"/>
      <c r="M36" s="62"/>
      <c r="N36" s="62"/>
      <c r="O36" s="62"/>
      <c r="P36" s="62"/>
    </row>
    <row r="37" spans="1:16" s="19" customFormat="1" ht="15.95" customHeight="1" x14ac:dyDescent="0.25">
      <c r="A37" s="37"/>
      <c r="B37" s="38" t="s">
        <v>47</v>
      </c>
      <c r="C37" s="36"/>
      <c r="D37" s="36">
        <v>16749.694852045657</v>
      </c>
      <c r="E37" s="36">
        <v>12952.34492652653</v>
      </c>
      <c r="F37" s="200">
        <v>1.9343493380123802</v>
      </c>
      <c r="G37" s="200">
        <v>2.5014591051083621</v>
      </c>
      <c r="H37" s="61">
        <v>100</v>
      </c>
      <c r="I37" s="62">
        <v>22.671158842367106</v>
      </c>
      <c r="J37" s="62">
        <v>3.2217457405238501</v>
      </c>
      <c r="K37" s="62">
        <v>53.52940302584701</v>
      </c>
      <c r="L37" s="62">
        <v>8.0453573336369502</v>
      </c>
      <c r="M37" s="62">
        <v>8.2467454585920219</v>
      </c>
      <c r="N37" s="62">
        <v>1.6035465202024215</v>
      </c>
      <c r="O37" s="62">
        <v>1.6422214015836973</v>
      </c>
      <c r="P37" s="62">
        <v>1.039821677246479</v>
      </c>
    </row>
    <row r="38" spans="1:16" s="19" customFormat="1" ht="15.95" customHeight="1" x14ac:dyDescent="0.25">
      <c r="A38" s="37"/>
      <c r="B38" s="38" t="s">
        <v>48</v>
      </c>
      <c r="C38" s="36"/>
      <c r="D38" s="36">
        <v>17486.305147954343</v>
      </c>
      <c r="E38" s="36">
        <v>13101.337761864164</v>
      </c>
      <c r="F38" s="200">
        <v>1.8620338404845522</v>
      </c>
      <c r="G38" s="200">
        <v>2.4852494090570874</v>
      </c>
      <c r="H38" s="61">
        <v>100</v>
      </c>
      <c r="I38" s="62">
        <v>25.076580495354953</v>
      </c>
      <c r="J38" s="62">
        <v>3.0778329239078319</v>
      </c>
      <c r="K38" s="62">
        <v>52.805804334034299</v>
      </c>
      <c r="L38" s="62">
        <v>6.8917637966940859</v>
      </c>
      <c r="M38" s="62">
        <v>8.0112188576026497</v>
      </c>
      <c r="N38" s="62">
        <v>1.8980230936192923</v>
      </c>
      <c r="O38" s="62">
        <v>1.2631834186784801</v>
      </c>
      <c r="P38" s="62">
        <v>0.97559308010804513</v>
      </c>
    </row>
    <row r="39" spans="1:16" s="19" customFormat="1" ht="15.95" customHeight="1" x14ac:dyDescent="0.25">
      <c r="A39" s="37" t="s">
        <v>49</v>
      </c>
      <c r="B39" s="38"/>
      <c r="C39" s="36" t="s">
        <v>19</v>
      </c>
      <c r="D39" s="36"/>
      <c r="E39" s="36"/>
      <c r="F39" s="200"/>
      <c r="G39" s="200"/>
      <c r="H39" s="61"/>
      <c r="I39" s="62"/>
      <c r="J39" s="62"/>
      <c r="K39" s="62"/>
      <c r="L39" s="62"/>
      <c r="M39" s="62"/>
      <c r="N39" s="62"/>
      <c r="O39" s="62"/>
      <c r="P39" s="62"/>
    </row>
    <row r="40" spans="1:16" s="19" customFormat="1" ht="15.95" customHeight="1" x14ac:dyDescent="0.25">
      <c r="A40" s="37"/>
      <c r="B40" s="38" t="s">
        <v>107</v>
      </c>
      <c r="C40" s="36"/>
      <c r="D40" s="36">
        <v>990.8974962064251</v>
      </c>
      <c r="E40" s="36">
        <v>805.83326628482916</v>
      </c>
      <c r="F40" s="200">
        <v>1.7616241261426335</v>
      </c>
      <c r="G40" s="200">
        <v>2.1661912071455398</v>
      </c>
      <c r="H40" s="61">
        <v>100</v>
      </c>
      <c r="I40" s="62">
        <v>18.67642522360789</v>
      </c>
      <c r="J40" s="62">
        <v>1.4105390604800789</v>
      </c>
      <c r="K40" s="62">
        <v>67.784923355010037</v>
      </c>
      <c r="L40" s="62">
        <v>9.4927831294754146</v>
      </c>
      <c r="M40" s="62">
        <v>2.4979470731968436</v>
      </c>
      <c r="N40" s="62">
        <v>0.11240378682875356</v>
      </c>
      <c r="O40" s="62">
        <v>2.4978371401006286E-2</v>
      </c>
      <c r="P40" s="62">
        <v>0</v>
      </c>
    </row>
    <row r="41" spans="1:16" s="19" customFormat="1" ht="15.95" customHeight="1" x14ac:dyDescent="0.25">
      <c r="A41" s="37"/>
      <c r="B41" s="38" t="s">
        <v>108</v>
      </c>
      <c r="C41" s="36"/>
      <c r="D41" s="36">
        <v>687.19908966432342</v>
      </c>
      <c r="E41" s="36">
        <v>455.60655500203745</v>
      </c>
      <c r="F41" s="200">
        <v>1.5496934816924226</v>
      </c>
      <c r="G41" s="200">
        <v>2.337428946501892</v>
      </c>
      <c r="H41" s="61">
        <v>100</v>
      </c>
      <c r="I41" s="62">
        <v>33.700937347779991</v>
      </c>
      <c r="J41" s="62">
        <v>4.9999396910329894</v>
      </c>
      <c r="K41" s="62">
        <v>47.309944807496585</v>
      </c>
      <c r="L41" s="62">
        <v>6.1910771049768751</v>
      </c>
      <c r="M41" s="62">
        <v>4.8847825733614707</v>
      </c>
      <c r="N41" s="62">
        <v>1.0851228563726265</v>
      </c>
      <c r="O41" s="62">
        <v>1.0167715361022678</v>
      </c>
      <c r="P41" s="62">
        <v>0.81142408287751733</v>
      </c>
    </row>
    <row r="42" spans="1:16" s="19" customFormat="1" ht="15.95" customHeight="1" x14ac:dyDescent="0.25">
      <c r="A42" s="37"/>
      <c r="B42" s="38" t="s">
        <v>109</v>
      </c>
      <c r="C42" s="36"/>
      <c r="D42" s="36">
        <v>4595.9785250585546</v>
      </c>
      <c r="E42" s="36">
        <v>3652.6169779652787</v>
      </c>
      <c r="F42" s="200">
        <v>1.8753516567209758</v>
      </c>
      <c r="G42" s="200">
        <v>2.3596988113502984</v>
      </c>
      <c r="H42" s="61">
        <v>100</v>
      </c>
      <c r="I42" s="62">
        <v>20.525804068705689</v>
      </c>
      <c r="J42" s="62">
        <v>5.7454427775063071</v>
      </c>
      <c r="K42" s="62">
        <v>54.609215362641102</v>
      </c>
      <c r="L42" s="62">
        <v>9.4522458603566744</v>
      </c>
      <c r="M42" s="62">
        <v>6.3269551447979566</v>
      </c>
      <c r="N42" s="62">
        <v>1.6716949357239712</v>
      </c>
      <c r="O42" s="62">
        <v>1.35040476896756</v>
      </c>
      <c r="P42" s="62">
        <v>0.31823708130104578</v>
      </c>
    </row>
    <row r="43" spans="1:16" s="19" customFormat="1" ht="15.95" customHeight="1" x14ac:dyDescent="0.25">
      <c r="A43" s="37"/>
      <c r="B43" s="38" t="s">
        <v>110</v>
      </c>
      <c r="C43" s="36"/>
      <c r="D43" s="36">
        <v>5316.0289939355107</v>
      </c>
      <c r="E43" s="36">
        <v>4538.9774809830633</v>
      </c>
      <c r="F43" s="200">
        <v>2.1620357493694886</v>
      </c>
      <c r="G43" s="200">
        <v>2.532166061128819</v>
      </c>
      <c r="H43" s="61">
        <v>100</v>
      </c>
      <c r="I43" s="62">
        <v>14.617142115644874</v>
      </c>
      <c r="J43" s="62">
        <v>2.4764822812727245</v>
      </c>
      <c r="K43" s="62">
        <v>59.543875255999907</v>
      </c>
      <c r="L43" s="62">
        <v>9.3448050597179826</v>
      </c>
      <c r="M43" s="62">
        <v>8.7671716527462955</v>
      </c>
      <c r="N43" s="62">
        <v>2.3102780853443585</v>
      </c>
      <c r="O43" s="62">
        <v>1.5429293971164688</v>
      </c>
      <c r="P43" s="62">
        <v>1.3973161521572608</v>
      </c>
    </row>
    <row r="44" spans="1:16" s="19" customFormat="1" ht="15.95" customHeight="1" x14ac:dyDescent="0.25">
      <c r="A44" s="37"/>
      <c r="B44" s="38" t="s">
        <v>111</v>
      </c>
      <c r="C44" s="36"/>
      <c r="D44" s="36">
        <v>6474.5930995165245</v>
      </c>
      <c r="E44" s="36">
        <v>5504.1238743651993</v>
      </c>
      <c r="F44" s="200">
        <v>2.2350674080337947</v>
      </c>
      <c r="G44" s="200">
        <v>2.629147226211161</v>
      </c>
      <c r="H44" s="61">
        <v>100</v>
      </c>
      <c r="I44" s="62">
        <v>14.988883629209038</v>
      </c>
      <c r="J44" s="62">
        <v>2.5355826369935559</v>
      </c>
      <c r="K44" s="62">
        <v>58.688303925366391</v>
      </c>
      <c r="L44" s="62">
        <v>7.3849386926508966</v>
      </c>
      <c r="M44" s="62">
        <v>9.64861623519133</v>
      </c>
      <c r="N44" s="62">
        <v>2.1924469032518039</v>
      </c>
      <c r="O44" s="62">
        <v>2.4619560263271887</v>
      </c>
      <c r="P44" s="62">
        <v>2.0992719510100111</v>
      </c>
    </row>
    <row r="45" spans="1:16" s="19" customFormat="1" ht="15.95" customHeight="1" x14ac:dyDescent="0.25">
      <c r="A45" s="37"/>
      <c r="B45" s="38" t="s">
        <v>112</v>
      </c>
      <c r="C45" s="36"/>
      <c r="D45" s="36">
        <v>5835.4025813818816</v>
      </c>
      <c r="E45" s="36">
        <v>4731.8354863738859</v>
      </c>
      <c r="F45" s="200">
        <v>2.0760397363775791</v>
      </c>
      <c r="G45" s="200">
        <v>2.5602174191378593</v>
      </c>
      <c r="H45" s="61">
        <v>100</v>
      </c>
      <c r="I45" s="62">
        <v>18.911584584222847</v>
      </c>
      <c r="J45" s="62">
        <v>2.4913508637234711</v>
      </c>
      <c r="K45" s="62">
        <v>55.468328906747182</v>
      </c>
      <c r="L45" s="62">
        <v>8.1361621274046119</v>
      </c>
      <c r="M45" s="62">
        <v>9.9404042674924131</v>
      </c>
      <c r="N45" s="62">
        <v>2.2257679625633084</v>
      </c>
      <c r="O45" s="62">
        <v>1.6951553587064596</v>
      </c>
      <c r="P45" s="62">
        <v>1.1312459291384025</v>
      </c>
    </row>
    <row r="46" spans="1:16" s="19" customFormat="1" ht="15.95" customHeight="1" x14ac:dyDescent="0.25">
      <c r="A46" s="37"/>
      <c r="B46" s="38" t="s">
        <v>113</v>
      </c>
      <c r="C46" s="36"/>
      <c r="D46" s="36">
        <v>2922.424300885169</v>
      </c>
      <c r="E46" s="36">
        <v>2115.8018574368152</v>
      </c>
      <c r="F46" s="200">
        <v>1.809232250798432</v>
      </c>
      <c r="G46" s="200">
        <v>2.4989789460171159</v>
      </c>
      <c r="H46" s="61">
        <v>100</v>
      </c>
      <c r="I46" s="62">
        <v>27.60114071060892</v>
      </c>
      <c r="J46" s="62">
        <v>3.5706894938410434</v>
      </c>
      <c r="K46" s="62">
        <v>49.168825205282801</v>
      </c>
      <c r="L46" s="62">
        <v>6.6016013917540839</v>
      </c>
      <c r="M46" s="62">
        <v>9.1878850547365847</v>
      </c>
      <c r="N46" s="62">
        <v>2.2063301669629309</v>
      </c>
      <c r="O46" s="62">
        <v>0.79864041925242646</v>
      </c>
      <c r="P46" s="62">
        <v>0.8648875575612518</v>
      </c>
    </row>
    <row r="47" spans="1:16" s="19" customFormat="1" ht="15.95" customHeight="1" x14ac:dyDescent="0.25">
      <c r="A47" s="37"/>
      <c r="B47" s="38" t="s">
        <v>114</v>
      </c>
      <c r="C47" s="36"/>
      <c r="D47" s="36">
        <v>7413.4759133515799</v>
      </c>
      <c r="E47" s="36">
        <v>4248.8871899796668</v>
      </c>
      <c r="F47" s="200">
        <v>1.3709859844916885</v>
      </c>
      <c r="G47" s="200">
        <v>2.3921020067422347</v>
      </c>
      <c r="H47" s="61">
        <v>100</v>
      </c>
      <c r="I47" s="62">
        <v>42.686976532459994</v>
      </c>
      <c r="J47" s="62">
        <v>2.9660278511466691</v>
      </c>
      <c r="K47" s="62">
        <v>41.198687486984802</v>
      </c>
      <c r="L47" s="62">
        <v>4.5732095633463405</v>
      </c>
      <c r="M47" s="62">
        <v>6.6597569604562992</v>
      </c>
      <c r="N47" s="62">
        <v>0.75475849265516604</v>
      </c>
      <c r="O47" s="62">
        <v>0.84938702351021722</v>
      </c>
      <c r="P47" s="62">
        <v>0.31119608944073424</v>
      </c>
    </row>
    <row r="48" spans="1:16" s="19" customFormat="1" ht="4.5" customHeight="1" x14ac:dyDescent="0.25">
      <c r="A48" s="39"/>
      <c r="B48" s="40"/>
      <c r="C48" s="82"/>
      <c r="D48" s="160"/>
      <c r="E48" s="82"/>
      <c r="F48" s="201"/>
      <c r="G48" s="201"/>
      <c r="H48" s="83"/>
      <c r="I48" s="84"/>
      <c r="J48" s="84"/>
      <c r="K48" s="84"/>
      <c r="L48" s="84"/>
      <c r="M48" s="84"/>
      <c r="N48" s="84"/>
      <c r="O48" s="84"/>
      <c r="P48" s="84"/>
    </row>
    <row r="49" spans="1:16" s="19" customFormat="1" ht="15" customHeight="1" x14ac:dyDescent="0.25">
      <c r="A49" s="37" t="s">
        <v>50</v>
      </c>
      <c r="B49" s="38"/>
      <c r="C49" s="36" t="s">
        <v>19</v>
      </c>
      <c r="D49" s="155"/>
      <c r="E49" s="36"/>
      <c r="F49" s="200"/>
      <c r="G49" s="200"/>
      <c r="H49" s="61"/>
      <c r="I49" s="62"/>
      <c r="J49" s="62"/>
      <c r="K49" s="62"/>
      <c r="L49" s="62"/>
      <c r="M49" s="62"/>
      <c r="N49" s="62"/>
      <c r="O49" s="62"/>
      <c r="P49" s="62"/>
    </row>
    <row r="50" spans="1:16" s="19" customFormat="1" ht="15" customHeight="1" x14ac:dyDescent="0.25">
      <c r="A50" s="37"/>
      <c r="B50" s="38" t="s">
        <v>3</v>
      </c>
      <c r="C50" s="36"/>
      <c r="D50" s="36">
        <v>3395.0961114952684</v>
      </c>
      <c r="E50" s="36">
        <v>1575.0149159381763</v>
      </c>
      <c r="F50" s="200">
        <v>1.0787563297201119</v>
      </c>
      <c r="G50" s="200">
        <v>2.3253630065478199</v>
      </c>
      <c r="H50" s="61">
        <v>100</v>
      </c>
      <c r="I50" s="62">
        <v>53.609121385240627</v>
      </c>
      <c r="J50" s="62">
        <v>2.3567109843628158</v>
      </c>
      <c r="K50" s="62">
        <v>35.06846686817245</v>
      </c>
      <c r="L50" s="62">
        <v>2.5622697553272955</v>
      </c>
      <c r="M50" s="62">
        <v>5.3356240457490296</v>
      </c>
      <c r="N50" s="62">
        <v>0.29477135486363371</v>
      </c>
      <c r="O50" s="62">
        <v>0.66337105983834577</v>
      </c>
      <c r="P50" s="62">
        <v>0.10966454644564701</v>
      </c>
    </row>
    <row r="51" spans="1:16" s="19" customFormat="1" ht="15" customHeight="1" x14ac:dyDescent="0.25">
      <c r="A51" s="37"/>
      <c r="B51" s="38" t="s">
        <v>115</v>
      </c>
      <c r="C51" s="36"/>
      <c r="D51" s="36">
        <v>3014.9642279020204</v>
      </c>
      <c r="E51" s="36">
        <v>1946.0664132302941</v>
      </c>
      <c r="F51" s="200">
        <v>1.5526545639349743</v>
      </c>
      <c r="G51" s="200">
        <v>2.405466707984746</v>
      </c>
      <c r="H51" s="61">
        <v>100</v>
      </c>
      <c r="I51" s="62">
        <v>35.453084477076409</v>
      </c>
      <c r="J51" s="62">
        <v>3.0523795735118924</v>
      </c>
      <c r="K51" s="62">
        <v>47.391825802782101</v>
      </c>
      <c r="L51" s="62">
        <v>4.083749601761598</v>
      </c>
      <c r="M51" s="62">
        <v>7.4345316244968984</v>
      </c>
      <c r="N51" s="62">
        <v>1.0099182268215547</v>
      </c>
      <c r="O51" s="62">
        <v>0.96900685013320642</v>
      </c>
      <c r="P51" s="62">
        <v>0.60550384341678298</v>
      </c>
    </row>
    <row r="52" spans="1:16" s="19" customFormat="1" ht="15" customHeight="1" x14ac:dyDescent="0.25">
      <c r="A52" s="37"/>
      <c r="B52" s="38" t="s">
        <v>116</v>
      </c>
      <c r="C52" s="36"/>
      <c r="D52" s="36">
        <v>9553.0689204173286</v>
      </c>
      <c r="E52" s="36">
        <v>7078.3814548820319</v>
      </c>
      <c r="F52" s="200">
        <v>1.7976871079539569</v>
      </c>
      <c r="G52" s="200">
        <v>2.4261801866845096</v>
      </c>
      <c r="H52" s="61">
        <v>100</v>
      </c>
      <c r="I52" s="62">
        <v>25.904633224683874</v>
      </c>
      <c r="J52" s="62">
        <v>3.2149580474714616</v>
      </c>
      <c r="K52" s="62">
        <v>53.43275248294561</v>
      </c>
      <c r="L52" s="62">
        <v>6.7656639677766925</v>
      </c>
      <c r="M52" s="62">
        <v>7.5336838967184594</v>
      </c>
      <c r="N52" s="62">
        <v>1.289938068967293</v>
      </c>
      <c r="O52" s="62">
        <v>1.0664512950512262</v>
      </c>
      <c r="P52" s="62">
        <v>0.79191901638619644</v>
      </c>
    </row>
    <row r="53" spans="1:16" s="19" customFormat="1" ht="15" customHeight="1" x14ac:dyDescent="0.25">
      <c r="A53" s="37"/>
      <c r="B53" s="38" t="s">
        <v>51</v>
      </c>
      <c r="C53" s="36"/>
      <c r="D53" s="36">
        <v>3577.9049601334741</v>
      </c>
      <c r="E53" s="36">
        <v>2886.6803105859635</v>
      </c>
      <c r="F53" s="200">
        <v>2.0569432525617763</v>
      </c>
      <c r="G53" s="200">
        <v>2.5494847625021406</v>
      </c>
      <c r="H53" s="61">
        <v>100</v>
      </c>
      <c r="I53" s="62">
        <v>19.319256862589501</v>
      </c>
      <c r="J53" s="62">
        <v>3.5428349688309493</v>
      </c>
      <c r="K53" s="62">
        <v>54.797890855556922</v>
      </c>
      <c r="L53" s="62">
        <v>7.6073697923170718</v>
      </c>
      <c r="M53" s="62">
        <v>8.9691072320321084</v>
      </c>
      <c r="N53" s="62">
        <v>2.4227054903496055</v>
      </c>
      <c r="O53" s="62">
        <v>2.3217628633366516</v>
      </c>
      <c r="P53" s="62">
        <v>1.0190719349873965</v>
      </c>
    </row>
    <row r="54" spans="1:16" s="19" customFormat="1" ht="15" customHeight="1" x14ac:dyDescent="0.25">
      <c r="A54" s="37"/>
      <c r="B54" s="38" t="s">
        <v>52</v>
      </c>
      <c r="C54" s="36"/>
      <c r="D54" s="36">
        <v>11326.63878201431</v>
      </c>
      <c r="E54" s="36">
        <v>9515.6769203641361</v>
      </c>
      <c r="F54" s="200">
        <v>2.0987768788172505</v>
      </c>
      <c r="G54" s="200">
        <v>2.4982024704446073</v>
      </c>
      <c r="H54" s="61">
        <v>100</v>
      </c>
      <c r="I54" s="62">
        <v>15.988519599704393</v>
      </c>
      <c r="J54" s="62">
        <v>3.5044332571405579</v>
      </c>
      <c r="K54" s="62">
        <v>58.106151799171741</v>
      </c>
      <c r="L54" s="62">
        <v>8.9280638298395303</v>
      </c>
      <c r="M54" s="62">
        <v>8.5366382784811474</v>
      </c>
      <c r="N54" s="62">
        <v>2.1332181687038889</v>
      </c>
      <c r="O54" s="62">
        <v>1.7346395884903048</v>
      </c>
      <c r="P54" s="62">
        <v>1.0683354784674459</v>
      </c>
    </row>
    <row r="55" spans="1:16" s="19" customFormat="1" ht="15" customHeight="1" x14ac:dyDescent="0.25">
      <c r="A55" s="37"/>
      <c r="B55" s="38" t="s">
        <v>4</v>
      </c>
      <c r="C55" s="36"/>
      <c r="D55" s="36">
        <v>3288.1950600220534</v>
      </c>
      <c r="E55" s="36">
        <v>3023.5309191682545</v>
      </c>
      <c r="F55" s="200">
        <v>2.5089451138961962</v>
      </c>
      <c r="G55" s="200">
        <v>2.7285650948955444</v>
      </c>
      <c r="H55" s="61">
        <v>100</v>
      </c>
      <c r="I55" s="62">
        <v>8.0489185106927579</v>
      </c>
      <c r="J55" s="62">
        <v>2.2078668168079227</v>
      </c>
      <c r="K55" s="62">
        <v>58.167932463214406</v>
      </c>
      <c r="L55" s="62">
        <v>12.454754055423599</v>
      </c>
      <c r="M55" s="62">
        <v>11.194121280200873</v>
      </c>
      <c r="N55" s="62">
        <v>3.2927603987407639</v>
      </c>
      <c r="O55" s="62">
        <v>1.9095044059406008</v>
      </c>
      <c r="P55" s="62">
        <v>2.7241420689791456</v>
      </c>
    </row>
    <row r="56" spans="1:16" s="19" customFormat="1" ht="15" customHeight="1" x14ac:dyDescent="0.25">
      <c r="A56" s="37"/>
      <c r="B56" s="38" t="s">
        <v>117</v>
      </c>
      <c r="C56" s="36"/>
      <c r="D56" s="36">
        <v>80.131938015518415</v>
      </c>
      <c r="E56" s="36">
        <v>28.331754221888225</v>
      </c>
      <c r="F56" s="200">
        <v>0.76385105244794149</v>
      </c>
      <c r="G56" s="200">
        <v>2.1604332971573958</v>
      </c>
      <c r="H56" s="61">
        <v>100</v>
      </c>
      <c r="I56" s="62">
        <v>64.643617858834972</v>
      </c>
      <c r="J56" s="62">
        <v>2.9591099150804849</v>
      </c>
      <c r="K56" s="62">
        <v>26.34138561256594</v>
      </c>
      <c r="L56" s="62">
        <v>4.0849997969279865</v>
      </c>
      <c r="M56" s="62">
        <v>1.5848477846753859</v>
      </c>
      <c r="N56" s="62">
        <v>0.27671982415533442</v>
      </c>
      <c r="O56" s="62">
        <v>0</v>
      </c>
      <c r="P56" s="62">
        <v>0.10931920775994541</v>
      </c>
    </row>
    <row r="57" spans="1:16" s="19" customFormat="1" ht="15" customHeight="1" x14ac:dyDescent="0.25">
      <c r="A57" s="37" t="s">
        <v>53</v>
      </c>
      <c r="B57" s="38"/>
      <c r="C57" s="36" t="s">
        <v>19</v>
      </c>
      <c r="D57" s="36"/>
      <c r="E57" s="36"/>
      <c r="F57" s="200"/>
      <c r="G57" s="200"/>
      <c r="H57" s="61"/>
      <c r="I57" s="62"/>
      <c r="J57" s="62"/>
      <c r="K57" s="62"/>
      <c r="L57" s="62"/>
      <c r="M57" s="62"/>
      <c r="N57" s="62"/>
      <c r="O57" s="62"/>
      <c r="P57" s="62"/>
    </row>
    <row r="58" spans="1:16" s="19" customFormat="1" ht="15" customHeight="1" x14ac:dyDescent="0.25">
      <c r="A58" s="37"/>
      <c r="B58" s="38" t="s">
        <v>54</v>
      </c>
      <c r="C58" s="36"/>
      <c r="D58" s="36">
        <v>858.63851625481266</v>
      </c>
      <c r="E58" s="36">
        <v>649.88501474200791</v>
      </c>
      <c r="F58" s="200">
        <v>2.1640734291164234</v>
      </c>
      <c r="G58" s="200">
        <v>2.8592085616570855</v>
      </c>
      <c r="H58" s="61">
        <v>100</v>
      </c>
      <c r="I58" s="62">
        <v>24.312152036149062</v>
      </c>
      <c r="J58" s="62">
        <v>1.8756059026289351</v>
      </c>
      <c r="K58" s="62">
        <v>43.645576573574402</v>
      </c>
      <c r="L58" s="62">
        <v>6.6156775898379045</v>
      </c>
      <c r="M58" s="62">
        <v>17.862658988157616</v>
      </c>
      <c r="N58" s="62">
        <v>1.5644511080880217</v>
      </c>
      <c r="O58" s="62">
        <v>2.4133356703269224</v>
      </c>
      <c r="P58" s="62">
        <v>1.7105421312372646</v>
      </c>
    </row>
    <row r="59" spans="1:16" s="19" customFormat="1" ht="15" customHeight="1" x14ac:dyDescent="0.25">
      <c r="A59" s="37"/>
      <c r="B59" s="38" t="s">
        <v>55</v>
      </c>
      <c r="C59" s="36"/>
      <c r="D59" s="36">
        <v>6378.5061167558224</v>
      </c>
      <c r="E59" s="36">
        <v>5829.6002944234542</v>
      </c>
      <c r="F59" s="200">
        <v>2.248495056528288</v>
      </c>
      <c r="G59" s="200">
        <v>2.4602097480474581</v>
      </c>
      <c r="H59" s="61">
        <v>100</v>
      </c>
      <c r="I59" s="62">
        <v>8.6055545340064441</v>
      </c>
      <c r="J59" s="62">
        <v>2.2482743846000219</v>
      </c>
      <c r="K59" s="62">
        <v>66.043084576864644</v>
      </c>
      <c r="L59" s="62">
        <v>9.6496970490105269</v>
      </c>
      <c r="M59" s="62">
        <v>9.664501593148735</v>
      </c>
      <c r="N59" s="62">
        <v>1.3162140787048209</v>
      </c>
      <c r="O59" s="62">
        <v>1.4827409353682095</v>
      </c>
      <c r="P59" s="62">
        <v>0.98993284829689443</v>
      </c>
    </row>
    <row r="60" spans="1:16" s="19" customFormat="1" ht="15" customHeight="1" x14ac:dyDescent="0.25">
      <c r="A60" s="37"/>
      <c r="B60" s="38" t="s">
        <v>211</v>
      </c>
      <c r="C60" s="36"/>
      <c r="D60" s="36">
        <v>1425.9672604111859</v>
      </c>
      <c r="E60" s="36">
        <v>1204.3556905931725</v>
      </c>
      <c r="F60" s="200">
        <v>2.1361068760575739</v>
      </c>
      <c r="G60" s="200">
        <v>2.5291684954775127</v>
      </c>
      <c r="H60" s="61">
        <v>100</v>
      </c>
      <c r="I60" s="62">
        <v>15.541140106829053</v>
      </c>
      <c r="J60" s="62">
        <v>1.8231165344841116</v>
      </c>
      <c r="K60" s="62">
        <v>61.451171539743754</v>
      </c>
      <c r="L60" s="62">
        <v>7.6602663863349711</v>
      </c>
      <c r="M60" s="62">
        <v>8.7594052564573452</v>
      </c>
      <c r="N60" s="62">
        <v>1.2762272071685408</v>
      </c>
      <c r="O60" s="62">
        <v>1.6569052110911686</v>
      </c>
      <c r="P60" s="62">
        <v>1.8317677578911271</v>
      </c>
    </row>
    <row r="61" spans="1:16" s="19" customFormat="1" ht="15" customHeight="1" x14ac:dyDescent="0.25">
      <c r="A61" s="37"/>
      <c r="B61" s="38" t="s">
        <v>212</v>
      </c>
      <c r="C61" s="36"/>
      <c r="D61" s="36">
        <v>947.64890151683073</v>
      </c>
      <c r="E61" s="36">
        <v>765.50056506979695</v>
      </c>
      <c r="F61" s="200">
        <v>2.0099915329955267</v>
      </c>
      <c r="G61" s="200">
        <v>2.4882623935459383</v>
      </c>
      <c r="H61" s="61">
        <v>100</v>
      </c>
      <c r="I61" s="62">
        <v>19.221078202642623</v>
      </c>
      <c r="J61" s="62">
        <v>2.8593119175436703</v>
      </c>
      <c r="K61" s="62">
        <v>57.726958522164949</v>
      </c>
      <c r="L61" s="62">
        <v>9.1658565493236281</v>
      </c>
      <c r="M61" s="62">
        <v>6.7395456289382683</v>
      </c>
      <c r="N61" s="62">
        <v>1.8729738541387222</v>
      </c>
      <c r="O61" s="62">
        <v>0.86158213151870167</v>
      </c>
      <c r="P61" s="62">
        <v>1.5526931937294981</v>
      </c>
    </row>
    <row r="62" spans="1:16" s="19" customFormat="1" ht="15" customHeight="1" x14ac:dyDescent="0.25">
      <c r="A62" s="37"/>
      <c r="B62" s="38" t="s">
        <v>56</v>
      </c>
      <c r="C62" s="36"/>
      <c r="D62" s="36">
        <v>9521.6254962825114</v>
      </c>
      <c r="E62" s="36">
        <v>8161.7890199409703</v>
      </c>
      <c r="F62" s="200">
        <v>2.1653294522951145</v>
      </c>
      <c r="G62" s="200">
        <v>2.5260952066332294</v>
      </c>
      <c r="H62" s="61">
        <v>100</v>
      </c>
      <c r="I62" s="62">
        <v>14.28155808976574</v>
      </c>
      <c r="J62" s="62">
        <v>3.3136958948829158</v>
      </c>
      <c r="K62" s="62">
        <v>59.792247610187651</v>
      </c>
      <c r="L62" s="62">
        <v>8.2272148105021952</v>
      </c>
      <c r="M62" s="62">
        <v>8.7031283028487518</v>
      </c>
      <c r="N62" s="62">
        <v>2.6307867705271364</v>
      </c>
      <c r="O62" s="62">
        <v>1.6168717123399874</v>
      </c>
      <c r="P62" s="62">
        <v>1.4344968089452843</v>
      </c>
    </row>
    <row r="63" spans="1:16" s="19" customFormat="1" ht="15" customHeight="1" x14ac:dyDescent="0.25">
      <c r="A63" s="37"/>
      <c r="B63" s="38" t="s">
        <v>57</v>
      </c>
      <c r="C63" s="36"/>
      <c r="D63" s="36">
        <v>1722.5891299982352</v>
      </c>
      <c r="E63" s="36">
        <v>1515.3333885176341</v>
      </c>
      <c r="F63" s="200">
        <v>2.2053431899088474</v>
      </c>
      <c r="G63" s="200">
        <v>2.5069732084296414</v>
      </c>
      <c r="H63" s="61">
        <v>100</v>
      </c>
      <c r="I63" s="62">
        <v>12.031641084418766</v>
      </c>
      <c r="J63" s="62">
        <v>4.1999976455095931</v>
      </c>
      <c r="K63" s="62">
        <v>59.598143427539597</v>
      </c>
      <c r="L63" s="62">
        <v>11.050779598342789</v>
      </c>
      <c r="M63" s="62">
        <v>7.6786366169151545</v>
      </c>
      <c r="N63" s="62">
        <v>2.9569590643153543</v>
      </c>
      <c r="O63" s="62">
        <v>0.90687629194119601</v>
      </c>
      <c r="P63" s="62">
        <v>1.5769662710171648</v>
      </c>
    </row>
    <row r="64" spans="1:16" s="19" customFormat="1" ht="15" customHeight="1" x14ac:dyDescent="0.25">
      <c r="A64" s="37"/>
      <c r="B64" s="38" t="s">
        <v>204</v>
      </c>
      <c r="C64" s="36"/>
      <c r="D64" s="36">
        <v>83.971673267093962</v>
      </c>
      <c r="E64" s="36">
        <v>67.275496360740021</v>
      </c>
      <c r="F64" s="200">
        <v>1.9228211679739944</v>
      </c>
      <c r="G64" s="200">
        <v>2.4000196149037851</v>
      </c>
      <c r="H64" s="61">
        <v>100</v>
      </c>
      <c r="I64" s="62">
        <v>19.883106119902315</v>
      </c>
      <c r="J64" s="62">
        <v>1.7886538989332272</v>
      </c>
      <c r="K64" s="62">
        <v>48.662557173945515</v>
      </c>
      <c r="L64" s="62">
        <v>25.940335940666991</v>
      </c>
      <c r="M64" s="62">
        <v>3.5023702353688022</v>
      </c>
      <c r="N64" s="62">
        <v>0</v>
      </c>
      <c r="O64" s="62">
        <v>0.22297663118316371</v>
      </c>
      <c r="P64" s="62">
        <v>0</v>
      </c>
    </row>
    <row r="65" spans="1:16" s="19" customFormat="1" ht="15" customHeight="1" x14ac:dyDescent="0.25">
      <c r="A65" s="37"/>
      <c r="B65" s="38" t="s">
        <v>58</v>
      </c>
      <c r="C65" s="36"/>
      <c r="D65" s="36">
        <v>3838.7869642482669</v>
      </c>
      <c r="E65" s="36">
        <v>2242.9420750536374</v>
      </c>
      <c r="F65" s="200">
        <v>1.5062876836175578</v>
      </c>
      <c r="G65" s="200">
        <v>2.5780057312182354</v>
      </c>
      <c r="H65" s="61">
        <v>100</v>
      </c>
      <c r="I65" s="62">
        <v>41.571592903102015</v>
      </c>
      <c r="J65" s="62">
        <v>3.4277276001692334</v>
      </c>
      <c r="K65" s="62">
        <v>38.367462393162349</v>
      </c>
      <c r="L65" s="62">
        <v>4.7023817853190275</v>
      </c>
      <c r="M65" s="62">
        <v>7.4764766965045002</v>
      </c>
      <c r="N65" s="62">
        <v>1.8483443887243012</v>
      </c>
      <c r="O65" s="62">
        <v>1.7939288508752869</v>
      </c>
      <c r="P65" s="62">
        <v>0.81208538214390358</v>
      </c>
    </row>
    <row r="66" spans="1:16" s="19" customFormat="1" ht="15" customHeight="1" x14ac:dyDescent="0.25">
      <c r="A66" s="37"/>
      <c r="B66" s="38" t="s">
        <v>59</v>
      </c>
      <c r="C66" s="36"/>
      <c r="D66" s="36">
        <v>5782.2650174970122</v>
      </c>
      <c r="E66" s="36">
        <v>3366.8097683979381</v>
      </c>
      <c r="F66" s="200">
        <v>1.4180511898453818</v>
      </c>
      <c r="G66" s="200">
        <v>2.4354057259269024</v>
      </c>
      <c r="H66" s="61">
        <v>100</v>
      </c>
      <c r="I66" s="62">
        <v>41.77351335142869</v>
      </c>
      <c r="J66" s="62">
        <v>3.5088824058655903</v>
      </c>
      <c r="K66" s="62">
        <v>40.09671224756994</v>
      </c>
      <c r="L66" s="62">
        <v>5.0379152338007342</v>
      </c>
      <c r="M66" s="62">
        <v>7.0401179224624295</v>
      </c>
      <c r="N66" s="62">
        <v>1.114896848099437</v>
      </c>
      <c r="O66" s="62">
        <v>1.0602135408016984</v>
      </c>
      <c r="P66" s="62">
        <v>0.36774844997191036</v>
      </c>
    </row>
    <row r="67" spans="1:16" s="19" customFormat="1" ht="15" customHeight="1" x14ac:dyDescent="0.25">
      <c r="A67" s="37"/>
      <c r="B67" s="38" t="s">
        <v>61</v>
      </c>
      <c r="C67" s="36"/>
      <c r="D67" s="36">
        <v>1911.4783661531592</v>
      </c>
      <c r="E67" s="36">
        <v>1496.4431204799587</v>
      </c>
      <c r="F67" s="200">
        <v>1.7542972269074584</v>
      </c>
      <c r="G67" s="200">
        <v>2.2408477483331088</v>
      </c>
      <c r="H67" s="61">
        <v>100</v>
      </c>
      <c r="I67" s="62">
        <v>21.712788019069087</v>
      </c>
      <c r="J67" s="62">
        <v>3.8180791372305305</v>
      </c>
      <c r="K67" s="62">
        <v>60.25403907467286</v>
      </c>
      <c r="L67" s="62">
        <v>8.3286459350555067</v>
      </c>
      <c r="M67" s="62">
        <v>4.4539184542128929</v>
      </c>
      <c r="N67" s="62">
        <v>0.41943757714196583</v>
      </c>
      <c r="O67" s="62">
        <v>0.92621124345403394</v>
      </c>
      <c r="P67" s="62">
        <v>8.6880559162969925E-2</v>
      </c>
    </row>
    <row r="68" spans="1:16" s="19" customFormat="1" ht="15" customHeight="1" x14ac:dyDescent="0.25">
      <c r="A68" s="37"/>
      <c r="B68" s="38" t="s">
        <v>60</v>
      </c>
      <c r="C68" s="36"/>
      <c r="D68" s="36">
        <v>1692.5751595513027</v>
      </c>
      <c r="E68" s="36">
        <v>706.20352131760762</v>
      </c>
      <c r="F68" s="200">
        <v>1.0469685405149503</v>
      </c>
      <c r="G68" s="200">
        <v>2.509294970946931</v>
      </c>
      <c r="H68" s="61">
        <v>100</v>
      </c>
      <c r="I68" s="62">
        <v>58.276386290294788</v>
      </c>
      <c r="J68" s="62">
        <v>3.9398278015057979</v>
      </c>
      <c r="K68" s="62">
        <v>26.686750943207219</v>
      </c>
      <c r="L68" s="62">
        <v>3.109406714638363</v>
      </c>
      <c r="M68" s="62">
        <v>4.6898335045736266</v>
      </c>
      <c r="N68" s="62">
        <v>1.2818531612142408</v>
      </c>
      <c r="O68" s="62">
        <v>1.5287450666003515</v>
      </c>
      <c r="P68" s="62">
        <v>0.48719651796536051</v>
      </c>
    </row>
    <row r="69" spans="1:16" s="19" customFormat="1" ht="15" customHeight="1" x14ac:dyDescent="0.25">
      <c r="A69" s="37"/>
      <c r="B69" s="38" t="s">
        <v>117</v>
      </c>
      <c r="C69" s="36"/>
      <c r="D69" s="36">
        <v>71.947398063652201</v>
      </c>
      <c r="E69" s="36">
        <v>47.544733493778928</v>
      </c>
      <c r="F69" s="200">
        <v>1.720893073180489</v>
      </c>
      <c r="G69" s="200">
        <v>2.6041533911910357</v>
      </c>
      <c r="H69" s="61">
        <v>100</v>
      </c>
      <c r="I69" s="62">
        <v>33.91736911498058</v>
      </c>
      <c r="J69" s="62">
        <v>2.3862412509947228</v>
      </c>
      <c r="K69" s="62">
        <v>46.820320048404376</v>
      </c>
      <c r="L69" s="62">
        <v>7.1265444188490807</v>
      </c>
      <c r="M69" s="62">
        <v>1.5015457490383897</v>
      </c>
      <c r="N69" s="62">
        <v>0.81126678885269088</v>
      </c>
      <c r="O69" s="62">
        <v>7.4367126288801906</v>
      </c>
      <c r="P69" s="62">
        <v>0</v>
      </c>
    </row>
    <row r="70" spans="1:16" s="19" customFormat="1" ht="15" customHeight="1" x14ac:dyDescent="0.25">
      <c r="A70" s="37" t="s">
        <v>5</v>
      </c>
      <c r="B70" s="38"/>
      <c r="C70" s="36" t="s">
        <v>19</v>
      </c>
      <c r="D70" s="2"/>
      <c r="E70" s="156"/>
      <c r="F70" s="202"/>
      <c r="G70" s="203"/>
      <c r="H70" s="62"/>
      <c r="I70" s="62"/>
      <c r="J70" s="62"/>
      <c r="K70" s="62"/>
      <c r="L70" s="62"/>
      <c r="M70" s="62"/>
      <c r="N70" s="62"/>
      <c r="O70" s="62"/>
      <c r="P70" s="62"/>
    </row>
    <row r="71" spans="1:16" s="19" customFormat="1" ht="15" customHeight="1" x14ac:dyDescent="0.25">
      <c r="A71" s="37"/>
      <c r="B71" s="38" t="s">
        <v>6</v>
      </c>
      <c r="C71" s="36"/>
      <c r="D71" s="2">
        <v>0</v>
      </c>
      <c r="E71" s="156">
        <v>15320.453007463871</v>
      </c>
      <c r="F71" s="202">
        <v>0</v>
      </c>
      <c r="G71" s="203">
        <v>1.9034575132016638</v>
      </c>
      <c r="H71" s="62">
        <v>100</v>
      </c>
      <c r="I71" s="62">
        <v>0</v>
      </c>
      <c r="J71" s="62">
        <v>9.6608338630269017</v>
      </c>
      <c r="K71" s="62">
        <v>90.332580953778859</v>
      </c>
      <c r="L71" s="62">
        <v>6.5851831939958781E-3</v>
      </c>
      <c r="M71" s="62">
        <v>0</v>
      </c>
      <c r="N71" s="62">
        <v>0</v>
      </c>
      <c r="O71" s="62">
        <v>0</v>
      </c>
      <c r="P71" s="62">
        <v>0</v>
      </c>
    </row>
    <row r="72" spans="1:16" s="19" customFormat="1" ht="15" customHeight="1" x14ac:dyDescent="0.25">
      <c r="A72" s="37"/>
      <c r="B72" s="38" t="s">
        <v>7</v>
      </c>
      <c r="C72" s="36"/>
      <c r="D72" s="2">
        <v>0</v>
      </c>
      <c r="E72" s="156">
        <v>1523.3731012791009</v>
      </c>
      <c r="F72" s="202">
        <v>0</v>
      </c>
      <c r="G72" s="203">
        <v>1.9362932780951978</v>
      </c>
      <c r="H72" s="62">
        <v>100</v>
      </c>
      <c r="I72" s="62">
        <v>0</v>
      </c>
      <c r="J72" s="62">
        <v>8.5882407516489057</v>
      </c>
      <c r="K72" s="62">
        <v>89.865628174049675</v>
      </c>
      <c r="L72" s="62">
        <v>0.87469358743385872</v>
      </c>
      <c r="M72" s="62">
        <v>0.67143748686749216</v>
      </c>
      <c r="N72" s="62">
        <v>0</v>
      </c>
      <c r="O72" s="62">
        <v>0</v>
      </c>
      <c r="P72" s="62">
        <v>0</v>
      </c>
    </row>
    <row r="73" spans="1:16" s="19" customFormat="1" ht="15" customHeight="1" x14ac:dyDescent="0.25">
      <c r="A73" s="37"/>
      <c r="B73" s="38" t="s">
        <v>122</v>
      </c>
      <c r="C73" s="36"/>
      <c r="D73" s="2">
        <v>0</v>
      </c>
      <c r="E73" s="156">
        <v>1359.6993823017069</v>
      </c>
      <c r="F73" s="202">
        <v>0</v>
      </c>
      <c r="G73" s="203">
        <v>2.2660622671219772</v>
      </c>
      <c r="H73" s="62">
        <v>100</v>
      </c>
      <c r="I73" s="62">
        <v>0</v>
      </c>
      <c r="J73" s="62">
        <v>35.566757546956424</v>
      </c>
      <c r="K73" s="62">
        <v>34.638472967575609</v>
      </c>
      <c r="L73" s="62">
        <v>11.629975172167642</v>
      </c>
      <c r="M73" s="62">
        <v>11.088520288382666</v>
      </c>
      <c r="N73" s="62">
        <v>3.3463470861503453</v>
      </c>
      <c r="O73" s="62">
        <v>1.953927106829201</v>
      </c>
      <c r="P73" s="62">
        <v>1.7759998319381862</v>
      </c>
    </row>
    <row r="74" spans="1:16" s="19" customFormat="1" ht="15" customHeight="1" x14ac:dyDescent="0.25">
      <c r="A74" s="37"/>
      <c r="B74" s="38" t="s">
        <v>8</v>
      </c>
      <c r="C74" s="36"/>
      <c r="D74" s="2">
        <v>0</v>
      </c>
      <c r="E74" s="156">
        <v>5729.4491898323067</v>
      </c>
      <c r="F74" s="202">
        <v>0</v>
      </c>
      <c r="G74" s="203">
        <v>1.9357881989673973</v>
      </c>
      <c r="H74" s="62">
        <v>100</v>
      </c>
      <c r="I74" s="62">
        <v>0</v>
      </c>
      <c r="J74" s="62">
        <v>23.073887152431233</v>
      </c>
      <c r="K74" s="62">
        <v>67.203161119680985</v>
      </c>
      <c r="L74" s="62">
        <v>4.252997756355029</v>
      </c>
      <c r="M74" s="62">
        <v>4.5548314915540882</v>
      </c>
      <c r="N74" s="62">
        <v>0.4844205651221612</v>
      </c>
      <c r="O74" s="62">
        <v>0.33839347561253647</v>
      </c>
      <c r="P74" s="62">
        <v>9.2308439243806106E-2</v>
      </c>
    </row>
    <row r="75" spans="1:16" s="19" customFormat="1" ht="15" customHeight="1" x14ac:dyDescent="0.25">
      <c r="A75" s="37"/>
      <c r="B75" s="38" t="s">
        <v>9</v>
      </c>
      <c r="C75" s="36"/>
      <c r="D75" s="2">
        <v>0</v>
      </c>
      <c r="E75" s="156">
        <v>5589.282429341185</v>
      </c>
      <c r="F75" s="202">
        <v>0</v>
      </c>
      <c r="G75" s="203">
        <v>1.9572803176653466</v>
      </c>
      <c r="H75" s="62">
        <v>100</v>
      </c>
      <c r="I75" s="62">
        <v>0</v>
      </c>
      <c r="J75" s="62">
        <v>30.040036812175369</v>
      </c>
      <c r="K75" s="62">
        <v>56.273425537118612</v>
      </c>
      <c r="L75" s="62">
        <v>5.377740001233132</v>
      </c>
      <c r="M75" s="62">
        <v>6.1241813888489149</v>
      </c>
      <c r="N75" s="62">
        <v>1.2568168371799244</v>
      </c>
      <c r="O75" s="62">
        <v>0.55464077672474665</v>
      </c>
      <c r="P75" s="62">
        <v>0.37315864671910676</v>
      </c>
    </row>
    <row r="76" spans="1:16" s="19" customFormat="1" ht="15" customHeight="1" x14ac:dyDescent="0.25">
      <c r="A76" s="37"/>
      <c r="B76" s="38" t="s">
        <v>10</v>
      </c>
      <c r="C76" s="36"/>
      <c r="D76" s="2">
        <v>0</v>
      </c>
      <c r="E76" s="156">
        <v>4387.4425573896106</v>
      </c>
      <c r="F76" s="202">
        <v>0</v>
      </c>
      <c r="G76" s="203">
        <v>1.7632979617637905</v>
      </c>
      <c r="H76" s="62">
        <v>100</v>
      </c>
      <c r="I76" s="62">
        <v>0</v>
      </c>
      <c r="J76" s="62">
        <v>38.57465017552407</v>
      </c>
      <c r="K76" s="62">
        <v>52.815743368833935</v>
      </c>
      <c r="L76" s="62">
        <v>3.1030398303648195</v>
      </c>
      <c r="M76" s="62">
        <v>5.001113351961898</v>
      </c>
      <c r="N76" s="62">
        <v>0.26772957934136121</v>
      </c>
      <c r="O76" s="62">
        <v>0.21513045403239603</v>
      </c>
      <c r="P76" s="62">
        <v>2.2593239941219465E-2</v>
      </c>
    </row>
    <row r="77" spans="1:16" s="19" customFormat="1" ht="15" customHeight="1" x14ac:dyDescent="0.25">
      <c r="A77" s="37" t="s">
        <v>88</v>
      </c>
      <c r="B77" s="38"/>
      <c r="C77" s="36" t="s">
        <v>92</v>
      </c>
      <c r="D77" s="2"/>
      <c r="E77" s="156"/>
      <c r="F77" s="9"/>
      <c r="G77" s="203"/>
      <c r="H77" s="62"/>
      <c r="I77" s="62"/>
      <c r="J77" s="62"/>
      <c r="K77" s="62"/>
      <c r="L77" s="62"/>
      <c r="M77" s="62"/>
      <c r="N77" s="62"/>
      <c r="O77" s="62"/>
      <c r="P77" s="62"/>
    </row>
    <row r="78" spans="1:16" s="19" customFormat="1" ht="15" customHeight="1" x14ac:dyDescent="0.25">
      <c r="A78" s="37"/>
      <c r="B78" s="196" t="s">
        <v>106</v>
      </c>
      <c r="C78" s="36"/>
      <c r="D78" s="2">
        <v>0</v>
      </c>
      <c r="E78" s="156">
        <v>4349.5550711326141</v>
      </c>
      <c r="F78" s="9">
        <v>0</v>
      </c>
      <c r="G78" s="203">
        <v>1.9392718482960656</v>
      </c>
      <c r="H78" s="62">
        <v>100</v>
      </c>
      <c r="I78" s="62">
        <v>0</v>
      </c>
      <c r="J78" s="62">
        <v>18.265898827224305</v>
      </c>
      <c r="K78" s="62">
        <v>72.9267514131393</v>
      </c>
      <c r="L78" s="62">
        <v>5.8587331714662136</v>
      </c>
      <c r="M78" s="62">
        <v>2.5973286175689756</v>
      </c>
      <c r="N78" s="62">
        <v>0.30834375221727073</v>
      </c>
      <c r="O78" s="62">
        <v>2.1501658363874895E-2</v>
      </c>
      <c r="P78" s="62">
        <v>2.1442560019812464E-2</v>
      </c>
    </row>
    <row r="79" spans="1:16" s="19" customFormat="1" ht="15" customHeight="1" x14ac:dyDescent="0.25">
      <c r="A79" s="37"/>
      <c r="B79" s="38" t="s">
        <v>89</v>
      </c>
      <c r="C79" s="36"/>
      <c r="D79" s="2">
        <v>0</v>
      </c>
      <c r="E79" s="156">
        <v>4225.4394113881826</v>
      </c>
      <c r="F79" s="9">
        <v>0</v>
      </c>
      <c r="G79" s="203">
        <v>2.0455815500853718</v>
      </c>
      <c r="H79" s="62">
        <v>100</v>
      </c>
      <c r="I79" s="62">
        <v>0</v>
      </c>
      <c r="J79" s="62">
        <v>15.117540643357035</v>
      </c>
      <c r="K79" s="62">
        <v>73.03036290949909</v>
      </c>
      <c r="L79" s="62">
        <v>6.0942442475140046</v>
      </c>
      <c r="M79" s="62">
        <v>4.616794720472801</v>
      </c>
      <c r="N79" s="62">
        <v>0.37112414217364897</v>
      </c>
      <c r="O79" s="62">
        <v>0.65043908896741942</v>
      </c>
      <c r="P79" s="62">
        <v>0.11949424801614948</v>
      </c>
    </row>
    <row r="80" spans="1:16" s="19" customFormat="1" ht="15" customHeight="1" x14ac:dyDescent="0.25">
      <c r="A80" s="37"/>
      <c r="B80" s="38" t="s">
        <v>90</v>
      </c>
      <c r="C80" s="36"/>
      <c r="D80" s="2">
        <v>0</v>
      </c>
      <c r="E80" s="156">
        <v>20244.021871004315</v>
      </c>
      <c r="F80" s="9">
        <v>0</v>
      </c>
      <c r="G80" s="203">
        <v>2.5003066343965799</v>
      </c>
      <c r="H80" s="62">
        <v>100</v>
      </c>
      <c r="I80" s="62">
        <v>0</v>
      </c>
      <c r="J80" s="62">
        <v>4.5895685005357825</v>
      </c>
      <c r="K80" s="62">
        <v>69.246335902595561</v>
      </c>
      <c r="L80" s="62">
        <v>9.9298109909551453</v>
      </c>
      <c r="M80" s="62">
        <v>10.388712623784853</v>
      </c>
      <c r="N80" s="62">
        <v>2.4296722439055265</v>
      </c>
      <c r="O80" s="62">
        <v>1.8694606618898721</v>
      </c>
      <c r="P80" s="62">
        <v>1.5464390763308233</v>
      </c>
    </row>
    <row r="81" spans="1:16" s="19" customFormat="1" ht="15" customHeight="1" x14ac:dyDescent="0.25">
      <c r="A81" s="37" t="s">
        <v>72</v>
      </c>
      <c r="B81" s="38"/>
      <c r="C81" s="36" t="s">
        <v>92</v>
      </c>
      <c r="D81" s="2"/>
      <c r="E81" s="156"/>
      <c r="F81" s="9"/>
      <c r="G81" s="203"/>
      <c r="H81" s="62"/>
      <c r="I81" s="62"/>
      <c r="J81" s="62"/>
      <c r="K81" s="62"/>
      <c r="L81" s="62"/>
      <c r="M81" s="62"/>
      <c r="N81" s="62"/>
      <c r="O81" s="62"/>
      <c r="P81" s="62"/>
    </row>
    <row r="82" spans="1:16" s="19" customFormat="1" ht="15" customHeight="1" x14ac:dyDescent="0.25">
      <c r="A82" s="37"/>
      <c r="B82" s="38" t="s">
        <v>163</v>
      </c>
      <c r="C82" s="36"/>
      <c r="D82" s="2">
        <v>0</v>
      </c>
      <c r="E82" s="156">
        <v>3579.0797673512834</v>
      </c>
      <c r="F82" s="9">
        <v>0</v>
      </c>
      <c r="G82" s="203">
        <v>1.1265444617401243</v>
      </c>
      <c r="H82" s="62">
        <v>100</v>
      </c>
      <c r="I82" s="62">
        <v>0</v>
      </c>
      <c r="J82" s="62">
        <v>88.469148176247273</v>
      </c>
      <c r="K82" s="62">
        <v>10.752686820014107</v>
      </c>
      <c r="L82" s="62">
        <v>0.43529274363407749</v>
      </c>
      <c r="M82" s="62">
        <v>0.34031517368804315</v>
      </c>
      <c r="N82" s="62">
        <v>2.557086416492254E-3</v>
      </c>
      <c r="O82" s="62">
        <v>0</v>
      </c>
      <c r="P82" s="62">
        <v>0</v>
      </c>
    </row>
    <row r="83" spans="1:16" s="19" customFormat="1" ht="15" customHeight="1" x14ac:dyDescent="0.25">
      <c r="A83" s="37"/>
      <c r="B83" s="38" t="s">
        <v>164</v>
      </c>
      <c r="C83" s="36"/>
      <c r="D83" s="2">
        <v>0</v>
      </c>
      <c r="E83" s="156">
        <v>14075.367015462391</v>
      </c>
      <c r="F83" s="9">
        <v>0</v>
      </c>
      <c r="G83" s="203">
        <v>1.1308575370348097</v>
      </c>
      <c r="H83" s="62">
        <v>100</v>
      </c>
      <c r="I83" s="62">
        <v>0</v>
      </c>
      <c r="J83" s="62">
        <v>87.929518964978314</v>
      </c>
      <c r="K83" s="62">
        <v>11.133366112430293</v>
      </c>
      <c r="L83" s="62">
        <v>0.87142846771163918</v>
      </c>
      <c r="M83" s="62">
        <v>5.4243673340025535E-2</v>
      </c>
      <c r="N83" s="62">
        <v>1.0414272093267849E-2</v>
      </c>
      <c r="O83" s="62">
        <v>1.028509446724309E-3</v>
      </c>
      <c r="P83" s="62">
        <v>0</v>
      </c>
    </row>
    <row r="84" spans="1:16" s="19" customFormat="1" ht="15" customHeight="1" x14ac:dyDescent="0.25">
      <c r="A84" s="37"/>
      <c r="B84" s="38" t="s">
        <v>219</v>
      </c>
      <c r="C84" s="36"/>
      <c r="D84" s="2">
        <v>0</v>
      </c>
      <c r="E84" s="156">
        <v>5835.1902727224415</v>
      </c>
      <c r="F84" s="9">
        <v>0</v>
      </c>
      <c r="G84" s="203">
        <v>1.2290456583192941</v>
      </c>
      <c r="H84" s="62">
        <v>100</v>
      </c>
      <c r="I84" s="62">
        <v>0</v>
      </c>
      <c r="J84" s="62">
        <v>79.174961546906488</v>
      </c>
      <c r="K84" s="62">
        <v>18.916983832263288</v>
      </c>
      <c r="L84" s="62">
        <v>1.7483549459888472</v>
      </c>
      <c r="M84" s="62">
        <v>0.14792659167525304</v>
      </c>
      <c r="N84" s="62">
        <v>1.1773083165706298E-2</v>
      </c>
      <c r="O84" s="62">
        <v>0</v>
      </c>
      <c r="P84" s="62">
        <v>0</v>
      </c>
    </row>
    <row r="85" spans="1:16" s="19" customFormat="1" ht="15" customHeight="1" x14ac:dyDescent="0.25">
      <c r="A85" s="37"/>
      <c r="B85" s="38" t="s">
        <v>214</v>
      </c>
      <c r="C85" s="36"/>
      <c r="D85" s="2">
        <v>0</v>
      </c>
      <c r="E85" s="156">
        <v>4300.7329490763877</v>
      </c>
      <c r="F85" s="9">
        <v>0</v>
      </c>
      <c r="G85" s="203">
        <v>1.2839474040113761</v>
      </c>
      <c r="H85" s="62">
        <v>100</v>
      </c>
      <c r="I85" s="62">
        <v>0</v>
      </c>
      <c r="J85" s="62">
        <v>73.058367715271146</v>
      </c>
      <c r="K85" s="62">
        <v>25.737886084995516</v>
      </c>
      <c r="L85" s="62">
        <v>1.0123559362724421</v>
      </c>
      <c r="M85" s="62">
        <v>0.1334186102448334</v>
      </c>
      <c r="N85" s="62">
        <v>5.7971653215783146E-2</v>
      </c>
      <c r="O85" s="62">
        <v>0</v>
      </c>
      <c r="P85" s="62">
        <v>0</v>
      </c>
    </row>
    <row r="86" spans="1:16" s="19" customFormat="1" ht="15" customHeight="1" x14ac:dyDescent="0.25">
      <c r="A86" s="37"/>
      <c r="B86" s="38" t="s">
        <v>216</v>
      </c>
      <c r="C86" s="36"/>
      <c r="D86" s="2">
        <v>0</v>
      </c>
      <c r="E86" s="156">
        <v>3110.0344323366776</v>
      </c>
      <c r="F86" s="9">
        <v>0</v>
      </c>
      <c r="G86" s="203">
        <v>1.1267442757041657</v>
      </c>
      <c r="H86" s="62">
        <v>100</v>
      </c>
      <c r="I86" s="62">
        <v>0</v>
      </c>
      <c r="J86" s="62">
        <v>87.912126010300895</v>
      </c>
      <c r="K86" s="62">
        <v>11.562099217578448</v>
      </c>
      <c r="L86" s="62">
        <v>0.46499596352337569</v>
      </c>
      <c r="M86" s="62">
        <v>6.0778808597081381E-2</v>
      </c>
      <c r="N86" s="62">
        <v>0</v>
      </c>
      <c r="O86" s="62">
        <v>0</v>
      </c>
      <c r="P86" s="62">
        <v>0</v>
      </c>
    </row>
    <row r="87" spans="1:16" s="19" customFormat="1" ht="15" customHeight="1" x14ac:dyDescent="0.25">
      <c r="A87" s="37"/>
      <c r="B87" s="38" t="s">
        <v>220</v>
      </c>
      <c r="C87" s="36"/>
      <c r="D87" s="2">
        <v>0</v>
      </c>
      <c r="E87" s="156">
        <v>4969.2914775255067</v>
      </c>
      <c r="F87" s="9">
        <v>0</v>
      </c>
      <c r="G87" s="203">
        <v>1.2108117121880189</v>
      </c>
      <c r="H87" s="62">
        <v>100</v>
      </c>
      <c r="I87" s="62">
        <v>0</v>
      </c>
      <c r="J87" s="62">
        <v>81.087131896144754</v>
      </c>
      <c r="K87" s="62">
        <v>16.957444404354852</v>
      </c>
      <c r="L87" s="62">
        <v>1.7518648607095035</v>
      </c>
      <c r="M87" s="62">
        <v>0.194238262135077</v>
      </c>
      <c r="N87" s="62">
        <v>9.3205766558135013E-3</v>
      </c>
      <c r="O87" s="62">
        <v>0</v>
      </c>
      <c r="P87" s="62">
        <v>0</v>
      </c>
    </row>
    <row r="88" spans="1:16" s="19" customFormat="1" ht="15" customHeight="1" x14ac:dyDescent="0.25">
      <c r="A88" s="37"/>
      <c r="B88" s="38" t="s">
        <v>165</v>
      </c>
      <c r="C88" s="36"/>
      <c r="D88" s="2">
        <v>0</v>
      </c>
      <c r="E88" s="156">
        <v>12405.813154336505</v>
      </c>
      <c r="F88" s="9">
        <v>0</v>
      </c>
      <c r="G88" s="203">
        <v>1.1472779155034236</v>
      </c>
      <c r="H88" s="62">
        <v>100</v>
      </c>
      <c r="I88" s="62">
        <v>0</v>
      </c>
      <c r="J88" s="62">
        <v>87.193230530086879</v>
      </c>
      <c r="K88" s="62">
        <v>11.148829331659607</v>
      </c>
      <c r="L88" s="62">
        <v>1.4121475995561319</v>
      </c>
      <c r="M88" s="62">
        <v>0.22850313521664328</v>
      </c>
      <c r="N88" s="62">
        <v>1.728940348025566E-2</v>
      </c>
      <c r="O88" s="62">
        <v>0</v>
      </c>
      <c r="P88" s="62">
        <v>0</v>
      </c>
    </row>
    <row r="89" spans="1:16" s="19" customFormat="1" ht="15" customHeight="1" x14ac:dyDescent="0.25">
      <c r="A89" s="37"/>
      <c r="B89" s="38" t="s">
        <v>158</v>
      </c>
      <c r="C89" s="36"/>
      <c r="D89" s="2">
        <v>0</v>
      </c>
      <c r="E89" s="156">
        <v>5271.0495698001669</v>
      </c>
      <c r="F89" s="9">
        <v>0</v>
      </c>
      <c r="G89" s="203">
        <v>1.2487047306098065</v>
      </c>
      <c r="H89" s="62">
        <v>100</v>
      </c>
      <c r="I89" s="62">
        <v>0</v>
      </c>
      <c r="J89" s="62">
        <v>78.393787792486336</v>
      </c>
      <c r="K89" s="62">
        <v>18.986240157929082</v>
      </c>
      <c r="L89" s="62">
        <v>1.9818981844697299</v>
      </c>
      <c r="M89" s="62">
        <v>0.63185892634685814</v>
      </c>
      <c r="N89" s="62">
        <v>6.2149387679635909E-3</v>
      </c>
      <c r="O89" s="62">
        <v>0</v>
      </c>
      <c r="P89" s="62">
        <v>0</v>
      </c>
    </row>
    <row r="90" spans="1:16" s="19" customFormat="1" ht="15" customHeight="1" x14ac:dyDescent="0.25">
      <c r="A90" s="37"/>
      <c r="B90" s="38" t="s">
        <v>159</v>
      </c>
      <c r="C90" s="36"/>
      <c r="D90" s="2">
        <v>0</v>
      </c>
      <c r="E90" s="156">
        <v>1030.3868162277051</v>
      </c>
      <c r="F90" s="9">
        <v>0</v>
      </c>
      <c r="G90" s="203">
        <v>1.0895539523853175</v>
      </c>
      <c r="H90" s="62">
        <v>100</v>
      </c>
      <c r="I90" s="62">
        <v>0</v>
      </c>
      <c r="J90" s="62">
        <v>91.856498586271471</v>
      </c>
      <c r="K90" s="62">
        <v>7.3316075889252632</v>
      </c>
      <c r="L90" s="62">
        <v>0.81189382480327532</v>
      </c>
      <c r="M90" s="62">
        <v>0</v>
      </c>
      <c r="N90" s="62">
        <v>0</v>
      </c>
      <c r="O90" s="62">
        <v>0</v>
      </c>
      <c r="P90" s="62">
        <v>0</v>
      </c>
    </row>
    <row r="91" spans="1:16" s="19" customFormat="1" ht="15" customHeight="1" x14ac:dyDescent="0.25">
      <c r="A91" s="37"/>
      <c r="B91" s="38" t="s">
        <v>75</v>
      </c>
      <c r="C91" s="36"/>
      <c r="D91" s="2">
        <v>0</v>
      </c>
      <c r="E91" s="156">
        <v>553.92089620882177</v>
      </c>
      <c r="F91" s="9">
        <v>0</v>
      </c>
      <c r="G91" s="203">
        <v>1.549578126999628</v>
      </c>
      <c r="H91" s="62">
        <v>100</v>
      </c>
      <c r="I91" s="62">
        <v>0</v>
      </c>
      <c r="J91" s="62">
        <v>54.000355545356577</v>
      </c>
      <c r="K91" s="62">
        <v>41.304379453906733</v>
      </c>
      <c r="L91" s="62">
        <v>1.5930272341189378</v>
      </c>
      <c r="M91" s="62">
        <v>2.4509381025638071</v>
      </c>
      <c r="N91" s="62">
        <v>0.26515366884431374</v>
      </c>
      <c r="O91" s="62">
        <v>0.26292617650808375</v>
      </c>
      <c r="P91" s="62">
        <v>0.12321981870152231</v>
      </c>
    </row>
    <row r="92" spans="1:16" s="19" customFormat="1" ht="6" customHeight="1" x14ac:dyDescent="0.25">
      <c r="A92" s="30"/>
      <c r="B92" s="70"/>
      <c r="C92" s="108"/>
      <c r="D92" s="3"/>
      <c r="E92" s="163"/>
      <c r="F92" s="204"/>
      <c r="G92" s="205"/>
      <c r="H92" s="71"/>
      <c r="I92" s="71"/>
      <c r="J92" s="71"/>
      <c r="K92" s="71"/>
      <c r="L92" s="71"/>
      <c r="M92" s="71"/>
      <c r="N92" s="71"/>
      <c r="O92" s="71"/>
      <c r="P92" s="71"/>
    </row>
    <row r="93" spans="1:16" s="19" customFormat="1" ht="15" customHeight="1" x14ac:dyDescent="0.25">
      <c r="A93" s="33" t="s">
        <v>62</v>
      </c>
      <c r="B93" s="38"/>
      <c r="C93" s="36" t="s">
        <v>19</v>
      </c>
      <c r="D93" s="2"/>
      <c r="E93" s="156"/>
      <c r="F93" s="202"/>
      <c r="G93" s="203"/>
      <c r="H93" s="62"/>
      <c r="I93" s="62"/>
      <c r="J93" s="62"/>
      <c r="K93" s="62"/>
      <c r="L93" s="62"/>
      <c r="M93" s="62"/>
      <c r="N93" s="62"/>
      <c r="O93" s="62"/>
      <c r="P93" s="62"/>
    </row>
    <row r="94" spans="1:16" s="19" customFormat="1" ht="15" customHeight="1" x14ac:dyDescent="0.25">
      <c r="A94" s="37"/>
      <c r="B94" s="38" t="s">
        <v>129</v>
      </c>
      <c r="C94" s="36"/>
      <c r="D94" s="2">
        <v>24970.999999998672</v>
      </c>
      <c r="E94" s="156">
        <v>18681.171391806136</v>
      </c>
      <c r="F94" s="202">
        <v>1.9419167358265685</v>
      </c>
      <c r="G94" s="203">
        <v>2.5957474396702911</v>
      </c>
      <c r="H94" s="62">
        <v>100</v>
      </c>
      <c r="I94" s="62">
        <v>25.18853313120367</v>
      </c>
      <c r="J94" s="62">
        <v>1.2717949367695374</v>
      </c>
      <c r="K94" s="62">
        <v>51.844346540075847</v>
      </c>
      <c r="L94" s="62">
        <v>6.5085976175852789</v>
      </c>
      <c r="M94" s="62">
        <v>10.772851229106671</v>
      </c>
      <c r="N94" s="62">
        <v>1.7954752048511116</v>
      </c>
      <c r="O94" s="62">
        <v>1.7206637379823153</v>
      </c>
      <c r="P94" s="62">
        <v>0.89773760242555578</v>
      </c>
    </row>
    <row r="95" spans="1:16" s="19" customFormat="1" ht="15" customHeight="1" x14ac:dyDescent="0.25">
      <c r="A95" s="37"/>
      <c r="B95" s="38" t="s">
        <v>130</v>
      </c>
      <c r="C95" s="36"/>
      <c r="D95" s="2">
        <v>38732.999999999141</v>
      </c>
      <c r="E95" s="156">
        <v>30225.715094024323</v>
      </c>
      <c r="F95" s="202">
        <v>2.0084243884567954</v>
      </c>
      <c r="G95" s="203">
        <v>2.5737125357035806</v>
      </c>
      <c r="H95" s="62">
        <v>100</v>
      </c>
      <c r="I95" s="62">
        <v>21.963919412322838</v>
      </c>
      <c r="J95" s="62">
        <v>1.1705412088151574</v>
      </c>
      <c r="K95" s="62">
        <v>55.327581136663106</v>
      </c>
      <c r="L95" s="62">
        <v>5.6966338829004322</v>
      </c>
      <c r="M95" s="62">
        <v>11.627376007563896</v>
      </c>
      <c r="N95" s="62">
        <v>1.6387576923412204</v>
      </c>
      <c r="O95" s="62">
        <v>1.6387576923412204</v>
      </c>
      <c r="P95" s="62">
        <v>0.93643296705212575</v>
      </c>
    </row>
    <row r="96" spans="1:16" s="19" customFormat="1" ht="15" customHeight="1" x14ac:dyDescent="0.25">
      <c r="A96" s="37"/>
      <c r="B96" s="38" t="s">
        <v>131</v>
      </c>
      <c r="C96" s="36"/>
      <c r="D96" s="2">
        <v>39899.999999999993</v>
      </c>
      <c r="E96" s="156">
        <v>29872.683606064089</v>
      </c>
      <c r="F96" s="202">
        <v>1.9357932986607003</v>
      </c>
      <c r="G96" s="203">
        <v>2.5855779693285661</v>
      </c>
      <c r="H96" s="62">
        <v>100</v>
      </c>
      <c r="I96" s="62">
        <v>25.131118781794257</v>
      </c>
      <c r="J96" s="62">
        <v>1.3476398619277035</v>
      </c>
      <c r="K96" s="62">
        <v>52.25847909030761</v>
      </c>
      <c r="L96" s="62">
        <v>6.2141171411110774</v>
      </c>
      <c r="M96" s="62">
        <v>10.631381132985215</v>
      </c>
      <c r="N96" s="62">
        <v>1.5722465055823207</v>
      </c>
      <c r="O96" s="62">
        <v>1.796853149236938</v>
      </c>
      <c r="P96" s="62">
        <v>0.97329545583667487</v>
      </c>
    </row>
    <row r="97" spans="1:16" s="19" customFormat="1" ht="15" customHeight="1" x14ac:dyDescent="0.25">
      <c r="A97" s="37"/>
      <c r="B97" s="38" t="s">
        <v>132</v>
      </c>
      <c r="C97" s="36"/>
      <c r="D97" s="2">
        <v>39907.000000000378</v>
      </c>
      <c r="E97" s="156">
        <v>30432.519243573381</v>
      </c>
      <c r="F97" s="202">
        <v>1.9482694667729255</v>
      </c>
      <c r="G97" s="203">
        <v>2.5548193689855867</v>
      </c>
      <c r="H97" s="62">
        <v>100</v>
      </c>
      <c r="I97" s="62">
        <v>23.741400647572888</v>
      </c>
      <c r="J97" s="62">
        <v>1.6014305864009697</v>
      </c>
      <c r="K97" s="62">
        <v>52.694692152527139</v>
      </c>
      <c r="L97" s="62">
        <v>8.159670130709701</v>
      </c>
      <c r="M97" s="62">
        <v>9.6848421177582438</v>
      </c>
      <c r="N97" s="62">
        <v>1.6014305864009697</v>
      </c>
      <c r="O97" s="62">
        <v>1.5251719870485425</v>
      </c>
      <c r="P97" s="62">
        <v>0.91510319222912551</v>
      </c>
    </row>
    <row r="98" spans="1:16" s="19" customFormat="1" ht="15" customHeight="1" x14ac:dyDescent="0.25">
      <c r="A98" s="37"/>
      <c r="B98" s="38" t="s">
        <v>133</v>
      </c>
      <c r="C98" s="36"/>
      <c r="D98" s="2">
        <v>38267.999999998843</v>
      </c>
      <c r="E98" s="156">
        <v>29397.221934808134</v>
      </c>
      <c r="F98" s="202">
        <v>1.9273322717565304</v>
      </c>
      <c r="G98" s="203">
        <v>2.5089156907117811</v>
      </c>
      <c r="H98" s="62">
        <v>100</v>
      </c>
      <c r="I98" s="62">
        <v>23.180668091332123</v>
      </c>
      <c r="J98" s="62">
        <v>1.6900253019906935</v>
      </c>
      <c r="K98" s="62">
        <v>54.003990331793517</v>
      </c>
      <c r="L98" s="62">
        <v>8.8342231694968056</v>
      </c>
      <c r="M98" s="62">
        <v>8.6805845056794695</v>
      </c>
      <c r="N98" s="62">
        <v>1.4595673062646894</v>
      </c>
      <c r="O98" s="62">
        <v>1.305928642447354</v>
      </c>
      <c r="P98" s="62">
        <v>0.84501265099534673</v>
      </c>
    </row>
    <row r="99" spans="1:16" s="19" customFormat="1" ht="15" customHeight="1" x14ac:dyDescent="0.25">
      <c r="A99" s="37"/>
      <c r="B99" s="38" t="s">
        <v>134</v>
      </c>
      <c r="C99" s="36"/>
      <c r="D99" s="2">
        <v>38272.999999999243</v>
      </c>
      <c r="E99" s="156">
        <v>29646.157936839121</v>
      </c>
      <c r="F99" s="202">
        <v>1.9908202924553584</v>
      </c>
      <c r="G99" s="203">
        <v>2.5701362454950987</v>
      </c>
      <c r="H99" s="62">
        <v>100</v>
      </c>
      <c r="I99" s="62">
        <v>22.540281825726467</v>
      </c>
      <c r="J99" s="62">
        <v>1.8590332361825646</v>
      </c>
      <c r="K99" s="62">
        <v>53.911963849294366</v>
      </c>
      <c r="L99" s="62">
        <v>6.5066163266389765</v>
      </c>
      <c r="M99" s="62">
        <v>10.457061953526926</v>
      </c>
      <c r="N99" s="62">
        <v>1.7815735180082908</v>
      </c>
      <c r="O99" s="62">
        <v>1.9364929543568381</v>
      </c>
      <c r="P99" s="62">
        <v>0.92951661809128228</v>
      </c>
    </row>
    <row r="100" spans="1:16" s="19" customFormat="1" ht="15" customHeight="1" x14ac:dyDescent="0.25">
      <c r="A100" s="37"/>
      <c r="B100" s="38" t="s">
        <v>135</v>
      </c>
      <c r="C100" s="36"/>
      <c r="D100" s="2">
        <v>39101.00000000195</v>
      </c>
      <c r="E100" s="156">
        <v>29607.162706923256</v>
      </c>
      <c r="F100" s="202">
        <v>1.9389651646414356</v>
      </c>
      <c r="G100" s="203">
        <v>2.5607140290048824</v>
      </c>
      <c r="H100" s="62">
        <v>100</v>
      </c>
      <c r="I100" s="62">
        <v>24.280292813683076</v>
      </c>
      <c r="J100" s="62">
        <v>2.2715912155895075</v>
      </c>
      <c r="K100" s="62">
        <v>52.549476787303945</v>
      </c>
      <c r="L100" s="62">
        <v>5.9818568677190367</v>
      </c>
      <c r="M100" s="62">
        <v>10.297880177339101</v>
      </c>
      <c r="N100" s="62">
        <v>1.741553265285289</v>
      </c>
      <c r="O100" s="62">
        <v>1.8172729724716061</v>
      </c>
      <c r="P100" s="62">
        <v>0.98435619342212</v>
      </c>
    </row>
    <row r="101" spans="1:16" s="19" customFormat="1" ht="15" customHeight="1" x14ac:dyDescent="0.25">
      <c r="A101" s="37"/>
      <c r="B101" s="38" t="s">
        <v>136</v>
      </c>
      <c r="C101" s="36"/>
      <c r="D101" s="2">
        <v>40246.000000000146</v>
      </c>
      <c r="E101" s="156">
        <v>30541.049878770918</v>
      </c>
      <c r="F101" s="202">
        <v>1.9241657345839904</v>
      </c>
      <c r="G101" s="203">
        <v>2.5356028840349749</v>
      </c>
      <c r="H101" s="62">
        <v>100</v>
      </c>
      <c r="I101" s="62">
        <v>24.114073749513466</v>
      </c>
      <c r="J101" s="62">
        <v>2.7318933450175154</v>
      </c>
      <c r="K101" s="62">
        <v>52.892490596589106</v>
      </c>
      <c r="L101" s="62">
        <v>5.9191022475379489</v>
      </c>
      <c r="M101" s="62">
        <v>10.016942265064221</v>
      </c>
      <c r="N101" s="62">
        <v>1.5177185250097305</v>
      </c>
      <c r="O101" s="62">
        <v>1.6694903775107039</v>
      </c>
      <c r="P101" s="62">
        <v>1.0624029675068114</v>
      </c>
    </row>
    <row r="102" spans="1:16" s="19" customFormat="1" ht="15" customHeight="1" x14ac:dyDescent="0.25">
      <c r="A102" s="37"/>
      <c r="B102" s="38" t="s">
        <v>192</v>
      </c>
      <c r="C102" s="36"/>
      <c r="D102" s="2">
        <v>37337.000000000378</v>
      </c>
      <c r="E102" s="156">
        <v>28456.740211754342</v>
      </c>
      <c r="F102" s="202">
        <v>1.9272132784302989</v>
      </c>
      <c r="G102" s="203">
        <v>2.5286228022361641</v>
      </c>
      <c r="H102" s="62">
        <v>100</v>
      </c>
      <c r="I102" s="62">
        <v>23.78407421122732</v>
      </c>
      <c r="J102" s="62">
        <v>3.0231051550273427</v>
      </c>
      <c r="K102" s="62">
        <v>52.776492401466996</v>
      </c>
      <c r="L102" s="62">
        <v>6.4992527426882107</v>
      </c>
      <c r="M102" s="62">
        <v>9.2644120820447942</v>
      </c>
      <c r="N102" s="62">
        <v>2.055260598816631</v>
      </c>
      <c r="O102" s="62">
        <v>1.6893216678020959</v>
      </c>
      <c r="P102" s="62">
        <v>0.90808114092770742</v>
      </c>
    </row>
    <row r="103" spans="1:16" s="19" customFormat="1" ht="15" customHeight="1" x14ac:dyDescent="0.25">
      <c r="A103" s="37"/>
      <c r="B103" s="38" t="s">
        <v>194</v>
      </c>
      <c r="C103" s="36"/>
      <c r="D103" s="2">
        <v>37791.999999974512</v>
      </c>
      <c r="E103" s="156">
        <v>27723.181408277604</v>
      </c>
      <c r="F103" s="202">
        <v>1.8679978053629387</v>
      </c>
      <c r="G103" s="203">
        <v>2.5464383766269392</v>
      </c>
      <c r="H103" s="62">
        <v>100</v>
      </c>
      <c r="I103" s="62">
        <v>26.642724893374499</v>
      </c>
      <c r="J103" s="62">
        <v>3.4578179521595889</v>
      </c>
      <c r="K103" s="62">
        <v>50.038552916811064</v>
      </c>
      <c r="L103" s="62">
        <v>6.2095218564867833</v>
      </c>
      <c r="M103" s="62">
        <v>8.8305334102328086</v>
      </c>
      <c r="N103" s="62">
        <v>1.6560457493176195</v>
      </c>
      <c r="O103" s="62">
        <v>2.076450069625936</v>
      </c>
      <c r="P103" s="62">
        <v>1.0883531519935432</v>
      </c>
    </row>
    <row r="104" spans="1:16" s="19" customFormat="1" ht="15" customHeight="1" x14ac:dyDescent="0.25">
      <c r="A104" s="37"/>
      <c r="B104" s="38" t="s">
        <v>205</v>
      </c>
      <c r="C104" s="36"/>
      <c r="D104" s="2">
        <f t="shared" ref="D104:P104" si="0">D$9</f>
        <v>34236.000000002343</v>
      </c>
      <c r="E104" s="156">
        <f t="shared" si="0"/>
        <v>26053.682688391149</v>
      </c>
      <c r="F104" s="202">
        <f t="shared" si="0"/>
        <v>1.8974136312504635</v>
      </c>
      <c r="G104" s="203">
        <f t="shared" si="0"/>
        <v>2.4933079080002671</v>
      </c>
      <c r="H104" s="62">
        <f t="shared" si="0"/>
        <v>100</v>
      </c>
      <c r="I104" s="62">
        <f t="shared" si="0"/>
        <v>23.899746791706477</v>
      </c>
      <c r="J104" s="62">
        <f t="shared" si="0"/>
        <v>3.1482411422630538</v>
      </c>
      <c r="K104" s="62">
        <f t="shared" si="0"/>
        <v>53.15981932653078</v>
      </c>
      <c r="L104" s="62">
        <f t="shared" si="0"/>
        <v>7.4561503993073428</v>
      </c>
      <c r="M104" s="62">
        <f t="shared" si="0"/>
        <v>8.1264484024119987</v>
      </c>
      <c r="N104" s="62">
        <f t="shared" si="0"/>
        <v>1.7539527365152914</v>
      </c>
      <c r="O104" s="62">
        <f t="shared" si="0"/>
        <v>1.4486247830608225</v>
      </c>
      <c r="P104" s="62">
        <f t="shared" si="0"/>
        <v>1.0070164181978154</v>
      </c>
    </row>
    <row r="105" spans="1:16" s="23" customFormat="1" ht="4.5" customHeight="1" x14ac:dyDescent="0.25">
      <c r="A105" s="39"/>
      <c r="B105" s="125"/>
      <c r="C105" s="82"/>
      <c r="D105" s="146"/>
      <c r="E105" s="206"/>
      <c r="F105" s="207"/>
      <c r="G105" s="208"/>
      <c r="H105" s="43"/>
      <c r="I105" s="43"/>
      <c r="J105" s="43"/>
      <c r="K105" s="43"/>
      <c r="L105" s="43"/>
      <c r="M105" s="43"/>
      <c r="N105" s="43"/>
      <c r="O105" s="43"/>
      <c r="P105" s="43"/>
    </row>
  </sheetData>
  <mergeCells count="15">
    <mergeCell ref="A1:P1"/>
    <mergeCell ref="A2:P2"/>
    <mergeCell ref="M6:M7"/>
    <mergeCell ref="N6:N7"/>
    <mergeCell ref="O6:O7"/>
    <mergeCell ref="P6:P7"/>
    <mergeCell ref="J6:J7"/>
    <mergeCell ref="F5:G6"/>
    <mergeCell ref="A3:P3"/>
    <mergeCell ref="A5:C7"/>
    <mergeCell ref="H5:H7"/>
    <mergeCell ref="D5:E6"/>
    <mergeCell ref="I6:I7"/>
    <mergeCell ref="K6:K7"/>
    <mergeCell ref="L6:L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83" orientation="portrait" r:id="rId1"/>
  <headerFooter alignWithMargins="0"/>
  <rowBreaks count="1" manualBreakCount="1">
    <brk id="4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B351-C446-45DA-B01A-D3BE66AEAAB8}">
  <sheetPr codeName="工作表18"/>
  <dimension ref="A1:I106"/>
  <sheetViews>
    <sheetView showGridLines="0" view="pageBreakPreview" zoomScale="55" zoomScaleNormal="100" zoomScaleSheetLayoutView="55" workbookViewId="0">
      <selection sqref="A1:I1"/>
    </sheetView>
  </sheetViews>
  <sheetFormatPr defaultColWidth="9" defaultRowHeight="11.1" customHeight="1" x14ac:dyDescent="0.25"/>
  <cols>
    <col min="1" max="1" width="1.875" style="18" customWidth="1"/>
    <col min="2" max="2" width="13" style="44" customWidth="1"/>
    <col min="3" max="3" width="3.375" style="48" bestFit="1" customWidth="1"/>
    <col min="4" max="4" width="10.625" style="46" customWidth="1"/>
    <col min="5" max="9" width="10.625" style="47" customWidth="1"/>
    <col min="10" max="16384" width="9" style="46"/>
  </cols>
  <sheetData>
    <row r="1" spans="1:9" s="14" customFormat="1" ht="22.15" customHeight="1" x14ac:dyDescent="0.25">
      <c r="A1" s="255" t="s">
        <v>256</v>
      </c>
      <c r="B1" s="256"/>
      <c r="C1" s="256"/>
      <c r="D1" s="256"/>
      <c r="E1" s="256"/>
      <c r="F1" s="256"/>
      <c r="G1" s="256"/>
      <c r="H1" s="256"/>
      <c r="I1" s="256"/>
    </row>
    <row r="2" spans="1:9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</row>
    <row r="3" spans="1:9" s="23" customFormat="1" ht="13.5" customHeight="1" x14ac:dyDescent="0.25">
      <c r="A3" s="276" t="s">
        <v>97</v>
      </c>
      <c r="B3" s="276"/>
      <c r="C3" s="276"/>
      <c r="D3" s="276"/>
      <c r="E3" s="276"/>
      <c r="F3" s="276"/>
      <c r="G3" s="276"/>
      <c r="H3" s="276"/>
      <c r="I3" s="276"/>
    </row>
    <row r="4" spans="1:9" s="195" customFormat="1" ht="13.5" x14ac:dyDescent="0.25">
      <c r="A4" s="24"/>
      <c r="B4" s="24"/>
      <c r="C4" s="24"/>
      <c r="D4" s="193"/>
      <c r="E4" s="194"/>
      <c r="F4" s="194"/>
      <c r="G4" s="194"/>
      <c r="H4" s="194"/>
      <c r="I4" s="27" t="s">
        <v>169</v>
      </c>
    </row>
    <row r="5" spans="1:9" s="19" customFormat="1" ht="9.75" customHeight="1" x14ac:dyDescent="0.25">
      <c r="A5" s="258" t="s">
        <v>21</v>
      </c>
      <c r="B5" s="258"/>
      <c r="C5" s="259"/>
      <c r="D5" s="259" t="s">
        <v>311</v>
      </c>
      <c r="E5" s="264" t="s">
        <v>81</v>
      </c>
      <c r="F5" s="176"/>
      <c r="G5" s="51"/>
      <c r="H5" s="51"/>
      <c r="I5" s="51"/>
    </row>
    <row r="6" spans="1:9" s="19" customFormat="1" ht="8.25" customHeight="1" x14ac:dyDescent="0.25">
      <c r="A6" s="260"/>
      <c r="B6" s="260"/>
      <c r="C6" s="261"/>
      <c r="D6" s="261"/>
      <c r="E6" s="265"/>
      <c r="F6" s="265" t="s">
        <v>86</v>
      </c>
      <c r="G6" s="53"/>
      <c r="H6" s="52"/>
      <c r="I6" s="277" t="s">
        <v>183</v>
      </c>
    </row>
    <row r="7" spans="1:9" s="19" customFormat="1" ht="28.5" customHeight="1" x14ac:dyDescent="0.25">
      <c r="A7" s="262"/>
      <c r="B7" s="262"/>
      <c r="C7" s="263"/>
      <c r="D7" s="263"/>
      <c r="E7" s="266"/>
      <c r="F7" s="268"/>
      <c r="G7" s="136" t="s">
        <v>77</v>
      </c>
      <c r="H7" s="137" t="s">
        <v>78</v>
      </c>
      <c r="I7" s="266"/>
    </row>
    <row r="8" spans="1:9" s="19" customFormat="1" ht="4.5" customHeight="1" x14ac:dyDescent="0.25">
      <c r="A8" s="30"/>
      <c r="B8" s="31"/>
      <c r="C8" s="32"/>
      <c r="D8" s="77"/>
      <c r="E8" s="80"/>
      <c r="F8" s="177"/>
      <c r="G8" s="81"/>
      <c r="H8" s="81"/>
      <c r="I8" s="81"/>
    </row>
    <row r="9" spans="1:9" s="19" customFormat="1" ht="15" customHeight="1" x14ac:dyDescent="0.25">
      <c r="A9" s="33" t="s">
        <v>22</v>
      </c>
      <c r="B9" s="34"/>
      <c r="C9" s="35"/>
      <c r="D9" s="168">
        <v>64959.853079497778</v>
      </c>
      <c r="E9" s="57">
        <v>100</v>
      </c>
      <c r="F9" s="58">
        <v>84.333900078320454</v>
      </c>
      <c r="G9" s="58">
        <v>53.047219067588188</v>
      </c>
      <c r="H9" s="58">
        <v>31.286681010732856</v>
      </c>
      <c r="I9" s="58">
        <v>15.66609992167955</v>
      </c>
    </row>
    <row r="10" spans="1:9" s="19" customFormat="1" ht="15" customHeight="1" x14ac:dyDescent="0.25">
      <c r="A10" s="33" t="s">
        <v>23</v>
      </c>
      <c r="B10" s="34"/>
      <c r="C10" s="36" t="s">
        <v>19</v>
      </c>
      <c r="D10" s="169"/>
      <c r="E10" s="61"/>
      <c r="F10" s="178"/>
      <c r="G10" s="62"/>
      <c r="H10" s="62"/>
      <c r="I10" s="62"/>
    </row>
    <row r="11" spans="1:9" s="19" customFormat="1" ht="15" customHeight="1" x14ac:dyDescent="0.25">
      <c r="A11" s="37"/>
      <c r="B11" s="38" t="s">
        <v>24</v>
      </c>
      <c r="C11" s="35"/>
      <c r="D11" s="169">
        <v>10221.054361665063</v>
      </c>
      <c r="E11" s="61">
        <v>100</v>
      </c>
      <c r="F11" s="62">
        <v>63.964739303995991</v>
      </c>
      <c r="G11" s="62">
        <v>42.511645787839782</v>
      </c>
      <c r="H11" s="62">
        <v>21.453093516156279</v>
      </c>
      <c r="I11" s="62">
        <v>36.035260696004009</v>
      </c>
    </row>
    <row r="12" spans="1:9" s="19" customFormat="1" ht="15" customHeight="1" x14ac:dyDescent="0.25">
      <c r="A12" s="37"/>
      <c r="B12" s="38" t="s">
        <v>25</v>
      </c>
      <c r="C12" s="35"/>
      <c r="D12" s="169">
        <v>6709.0416269349325</v>
      </c>
      <c r="E12" s="61">
        <v>100</v>
      </c>
      <c r="F12" s="62">
        <v>85.500587186493533</v>
      </c>
      <c r="G12" s="62">
        <v>43.345662837370426</v>
      </c>
      <c r="H12" s="62">
        <v>42.154924349123291</v>
      </c>
      <c r="I12" s="62">
        <v>14.499412813506467</v>
      </c>
    </row>
    <row r="13" spans="1:9" s="19" customFormat="1" ht="15" customHeight="1" x14ac:dyDescent="0.25">
      <c r="A13" s="37"/>
      <c r="B13" s="38" t="s">
        <v>26</v>
      </c>
      <c r="C13" s="35"/>
      <c r="D13" s="169">
        <v>6710.1983141957753</v>
      </c>
      <c r="E13" s="61">
        <v>100</v>
      </c>
      <c r="F13" s="62">
        <v>83.407657332175276</v>
      </c>
      <c r="G13" s="62">
        <v>57.821211781483512</v>
      </c>
      <c r="H13" s="62">
        <v>25.586445550691764</v>
      </c>
      <c r="I13" s="62">
        <v>16.592342667824727</v>
      </c>
    </row>
    <row r="14" spans="1:9" s="19" customFormat="1" ht="15" customHeight="1" x14ac:dyDescent="0.25">
      <c r="A14" s="37"/>
      <c r="B14" s="38" t="s">
        <v>27</v>
      </c>
      <c r="C14" s="35"/>
      <c r="D14" s="169">
        <v>7037.8419531634063</v>
      </c>
      <c r="E14" s="61">
        <v>100</v>
      </c>
      <c r="F14" s="62">
        <v>92.15751838121534</v>
      </c>
      <c r="G14" s="62">
        <v>53.313255126706387</v>
      </c>
      <c r="H14" s="62">
        <v>38.84426325450876</v>
      </c>
      <c r="I14" s="62">
        <v>7.8424816187846567</v>
      </c>
    </row>
    <row r="15" spans="1:9" s="19" customFormat="1" ht="15" customHeight="1" x14ac:dyDescent="0.25">
      <c r="A15" s="37"/>
      <c r="B15" s="38" t="s">
        <v>28</v>
      </c>
      <c r="C15" s="35"/>
      <c r="D15" s="169">
        <v>5905.217535680903</v>
      </c>
      <c r="E15" s="61">
        <v>100</v>
      </c>
      <c r="F15" s="62">
        <v>95.010200134086489</v>
      </c>
      <c r="G15" s="62">
        <v>53.839172386565373</v>
      </c>
      <c r="H15" s="62">
        <v>41.171027747521137</v>
      </c>
      <c r="I15" s="62">
        <v>4.989799865913505</v>
      </c>
    </row>
    <row r="16" spans="1:9" s="19" customFormat="1" ht="15" customHeight="1" x14ac:dyDescent="0.25">
      <c r="A16" s="37"/>
      <c r="B16" s="38" t="s">
        <v>29</v>
      </c>
      <c r="C16" s="35"/>
      <c r="D16" s="169">
        <v>8427.3613606957624</v>
      </c>
      <c r="E16" s="61">
        <v>100</v>
      </c>
      <c r="F16" s="62">
        <v>91.824405279122871</v>
      </c>
      <c r="G16" s="62">
        <v>52.603016274230455</v>
      </c>
      <c r="H16" s="62">
        <v>39.221389004892771</v>
      </c>
      <c r="I16" s="62">
        <v>8.1755947208771254</v>
      </c>
    </row>
    <row r="17" spans="1:9" s="19" customFormat="1" ht="15" customHeight="1" x14ac:dyDescent="0.25">
      <c r="A17" s="37"/>
      <c r="B17" s="38" t="s">
        <v>30</v>
      </c>
      <c r="C17" s="35"/>
      <c r="D17" s="169">
        <v>1393.9731726661441</v>
      </c>
      <c r="E17" s="61">
        <v>100</v>
      </c>
      <c r="F17" s="62">
        <v>92.125115412487574</v>
      </c>
      <c r="G17" s="62">
        <v>49.039686030497094</v>
      </c>
      <c r="H17" s="62">
        <v>43.085429381991375</v>
      </c>
      <c r="I17" s="62">
        <v>7.8748845875124198</v>
      </c>
    </row>
    <row r="18" spans="1:9" s="19" customFormat="1" ht="15" customHeight="1" x14ac:dyDescent="0.25">
      <c r="A18" s="37"/>
      <c r="B18" s="38" t="s">
        <v>31</v>
      </c>
      <c r="C18" s="35"/>
      <c r="D18" s="169">
        <v>1667.8871299640866</v>
      </c>
      <c r="E18" s="61">
        <v>100</v>
      </c>
      <c r="F18" s="62">
        <v>76.080336746433289</v>
      </c>
      <c r="G18" s="62">
        <v>58.382506253085076</v>
      </c>
      <c r="H18" s="62">
        <v>17.697830493347016</v>
      </c>
      <c r="I18" s="62">
        <v>23.919663253566707</v>
      </c>
    </row>
    <row r="19" spans="1:9" s="19" customFormat="1" ht="15" customHeight="1" x14ac:dyDescent="0.25">
      <c r="A19" s="37"/>
      <c r="B19" s="38" t="s">
        <v>32</v>
      </c>
      <c r="C19" s="35"/>
      <c r="D19" s="169">
        <v>1563.9616450668389</v>
      </c>
      <c r="E19" s="61">
        <v>100</v>
      </c>
      <c r="F19" s="62">
        <v>83.91035679458075</v>
      </c>
      <c r="G19" s="62">
        <v>59.05775152313872</v>
      </c>
      <c r="H19" s="62">
        <v>24.852605271441828</v>
      </c>
      <c r="I19" s="62">
        <v>16.08964320541925</v>
      </c>
    </row>
    <row r="20" spans="1:9" s="19" customFormat="1" ht="15" customHeight="1" x14ac:dyDescent="0.25">
      <c r="A20" s="37"/>
      <c r="B20" s="38" t="s">
        <v>33</v>
      </c>
      <c r="C20" s="35"/>
      <c r="D20" s="169">
        <v>2955.3726000839661</v>
      </c>
      <c r="E20" s="61">
        <v>100</v>
      </c>
      <c r="F20" s="62">
        <v>88.259639021095296</v>
      </c>
      <c r="G20" s="62">
        <v>56.769534822211718</v>
      </c>
      <c r="H20" s="62">
        <v>31.490104198883031</v>
      </c>
      <c r="I20" s="62">
        <v>11.740360978904711</v>
      </c>
    </row>
    <row r="21" spans="1:9" s="19" customFormat="1" ht="15" customHeight="1" x14ac:dyDescent="0.25">
      <c r="A21" s="37"/>
      <c r="B21" s="38" t="s">
        <v>34</v>
      </c>
      <c r="C21" s="35"/>
      <c r="D21" s="169">
        <v>1463.8493177621353</v>
      </c>
      <c r="E21" s="61">
        <v>100</v>
      </c>
      <c r="F21" s="62">
        <v>87.113082998519587</v>
      </c>
      <c r="G21" s="62">
        <v>71.001712177120055</v>
      </c>
      <c r="H21" s="62">
        <v>16.111370821397802</v>
      </c>
      <c r="I21" s="62">
        <v>12.886917001480411</v>
      </c>
    </row>
    <row r="22" spans="1:9" s="19" customFormat="1" ht="15" customHeight="1" x14ac:dyDescent="0.25">
      <c r="A22" s="37"/>
      <c r="B22" s="38" t="s">
        <v>35</v>
      </c>
      <c r="C22" s="35"/>
      <c r="D22" s="169">
        <v>2000.5110838908463</v>
      </c>
      <c r="E22" s="61">
        <v>100</v>
      </c>
      <c r="F22" s="62">
        <v>91.799358122415441</v>
      </c>
      <c r="G22" s="62">
        <v>67.352611326360176</v>
      </c>
      <c r="H22" s="62">
        <v>24.446746796055454</v>
      </c>
      <c r="I22" s="62">
        <v>8.200641877584566</v>
      </c>
    </row>
    <row r="23" spans="1:9" s="19" customFormat="1" ht="15" customHeight="1" x14ac:dyDescent="0.25">
      <c r="A23" s="37"/>
      <c r="B23" s="38" t="s">
        <v>36</v>
      </c>
      <c r="C23" s="35"/>
      <c r="D23" s="169">
        <v>1366.4926183632108</v>
      </c>
      <c r="E23" s="61">
        <v>100</v>
      </c>
      <c r="F23" s="62">
        <v>72.643178079585311</v>
      </c>
      <c r="G23" s="62">
        <v>58.574837515888049</v>
      </c>
      <c r="H23" s="62">
        <v>14.068340563696706</v>
      </c>
      <c r="I23" s="62">
        <v>27.356821920414692</v>
      </c>
    </row>
    <row r="24" spans="1:9" s="19" customFormat="1" ht="15" customHeight="1" x14ac:dyDescent="0.25">
      <c r="A24" s="37"/>
      <c r="B24" s="38" t="s">
        <v>37</v>
      </c>
      <c r="C24" s="35"/>
      <c r="D24" s="169">
        <v>1907.1762162940042</v>
      </c>
      <c r="E24" s="61">
        <v>100</v>
      </c>
      <c r="F24" s="62">
        <v>90.667762668081394</v>
      </c>
      <c r="G24" s="62">
        <v>62.223141361590919</v>
      </c>
      <c r="H24" s="62">
        <v>28.444621306490646</v>
      </c>
      <c r="I24" s="62">
        <v>9.3322373319185985</v>
      </c>
    </row>
    <row r="25" spans="1:9" s="19" customFormat="1" ht="15" customHeight="1" x14ac:dyDescent="0.25">
      <c r="A25" s="37"/>
      <c r="B25" s="38" t="s">
        <v>38</v>
      </c>
      <c r="C25" s="35"/>
      <c r="D25" s="169">
        <v>559.52962272557784</v>
      </c>
      <c r="E25" s="61">
        <v>100</v>
      </c>
      <c r="F25" s="62">
        <v>96.138373464477979</v>
      </c>
      <c r="G25" s="62">
        <v>78.925728725139635</v>
      </c>
      <c r="H25" s="62">
        <v>17.21264473933817</v>
      </c>
      <c r="I25" s="62">
        <v>3.8616265355220225</v>
      </c>
    </row>
    <row r="26" spans="1:9" s="19" customFormat="1" ht="15" customHeight="1" x14ac:dyDescent="0.25">
      <c r="A26" s="37"/>
      <c r="B26" s="38" t="s">
        <v>39</v>
      </c>
      <c r="C26" s="35"/>
      <c r="D26" s="169">
        <v>952.14709124562728</v>
      </c>
      <c r="E26" s="61">
        <v>100</v>
      </c>
      <c r="F26" s="62">
        <v>97.6546372766567</v>
      </c>
      <c r="G26" s="62">
        <v>69.522727173496804</v>
      </c>
      <c r="H26" s="62">
        <v>28.131910103160269</v>
      </c>
      <c r="I26" s="62">
        <v>2.3453627233433028</v>
      </c>
    </row>
    <row r="27" spans="1:9" s="19" customFormat="1" ht="15" customHeight="1" x14ac:dyDescent="0.25">
      <c r="A27" s="37"/>
      <c r="B27" s="38" t="s">
        <v>40</v>
      </c>
      <c r="C27" s="35"/>
      <c r="D27" s="169">
        <v>282.32897679104548</v>
      </c>
      <c r="E27" s="61">
        <v>100</v>
      </c>
      <c r="F27" s="62">
        <v>99.415809013246331</v>
      </c>
      <c r="G27" s="62">
        <v>80.414378273533586</v>
      </c>
      <c r="H27" s="62">
        <v>19.001430739713477</v>
      </c>
      <c r="I27" s="62">
        <v>0.58419098675366976</v>
      </c>
    </row>
    <row r="28" spans="1:9" s="19" customFormat="1" ht="15" customHeight="1" x14ac:dyDescent="0.25">
      <c r="A28" s="37"/>
      <c r="B28" s="38" t="s">
        <v>41</v>
      </c>
      <c r="C28" s="35"/>
      <c r="D28" s="169">
        <v>1001.2554943992847</v>
      </c>
      <c r="E28" s="61">
        <v>100</v>
      </c>
      <c r="F28" s="62">
        <v>67.790071186775464</v>
      </c>
      <c r="G28" s="62">
        <v>32.267054457729763</v>
      </c>
      <c r="H28" s="62">
        <v>35.523016729045359</v>
      </c>
      <c r="I28" s="62">
        <v>32.209928813224536</v>
      </c>
    </row>
    <row r="29" spans="1:9" s="19" customFormat="1" ht="15" customHeight="1" x14ac:dyDescent="0.25">
      <c r="A29" s="37"/>
      <c r="B29" s="38" t="s">
        <v>42</v>
      </c>
      <c r="C29" s="35"/>
      <c r="D29" s="169">
        <v>1428.2373804243118</v>
      </c>
      <c r="E29" s="61">
        <v>100</v>
      </c>
      <c r="F29" s="62">
        <v>77.954747394933321</v>
      </c>
      <c r="G29" s="62">
        <v>56.881655961391857</v>
      </c>
      <c r="H29" s="62">
        <v>21.073091433542302</v>
      </c>
      <c r="I29" s="62">
        <v>22.045252605066672</v>
      </c>
    </row>
    <row r="30" spans="1:9" s="19" customFormat="1" ht="15" customHeight="1" x14ac:dyDescent="0.25">
      <c r="A30" s="37"/>
      <c r="B30" s="38" t="s">
        <v>43</v>
      </c>
      <c r="C30" s="35"/>
      <c r="D30" s="169">
        <v>926.90133313808042</v>
      </c>
      <c r="E30" s="61">
        <v>100</v>
      </c>
      <c r="F30" s="62">
        <v>81.201636426171419</v>
      </c>
      <c r="G30" s="62">
        <v>62.179352968812239</v>
      </c>
      <c r="H30" s="62">
        <v>19.022283457358679</v>
      </c>
      <c r="I30" s="62">
        <v>18.798363573828585</v>
      </c>
    </row>
    <row r="31" spans="1:9" s="19" customFormat="1" ht="15" customHeight="1" x14ac:dyDescent="0.25">
      <c r="A31" s="37"/>
      <c r="B31" s="38" t="s">
        <v>44</v>
      </c>
      <c r="C31" s="35"/>
      <c r="D31" s="169">
        <v>452.28330853028291</v>
      </c>
      <c r="E31" s="61">
        <v>100</v>
      </c>
      <c r="F31" s="62">
        <v>99.59992669305808</v>
      </c>
      <c r="G31" s="62">
        <v>57.688954984141368</v>
      </c>
      <c r="H31" s="62">
        <v>41.910971708916719</v>
      </c>
      <c r="I31" s="62">
        <v>0.4000733069419144</v>
      </c>
    </row>
    <row r="32" spans="1:9" s="19" customFormat="1" ht="15" customHeight="1" x14ac:dyDescent="0.25">
      <c r="A32" s="37"/>
      <c r="B32" s="38" t="s">
        <v>45</v>
      </c>
      <c r="C32" s="35"/>
      <c r="D32" s="169">
        <v>27.230935813011428</v>
      </c>
      <c r="E32" s="61">
        <v>100</v>
      </c>
      <c r="F32" s="62">
        <v>96.666581788715177</v>
      </c>
      <c r="G32" s="62">
        <v>94.821762540693555</v>
      </c>
      <c r="H32" s="62">
        <v>1.8448192480215899</v>
      </c>
      <c r="I32" s="62">
        <v>3.3334182112848265</v>
      </c>
    </row>
    <row r="33" spans="1:9" s="19" customFormat="1" ht="15" customHeight="1" x14ac:dyDescent="0.25">
      <c r="A33" s="33" t="s">
        <v>232</v>
      </c>
      <c r="B33" s="34"/>
      <c r="C33" s="36" t="s">
        <v>92</v>
      </c>
      <c r="D33" s="169"/>
      <c r="E33" s="61"/>
      <c r="F33" s="178"/>
      <c r="G33" s="62"/>
      <c r="H33" s="62"/>
      <c r="I33" s="62"/>
    </row>
    <row r="34" spans="1:9" s="19" customFormat="1" ht="15" customHeight="1" x14ac:dyDescent="0.25">
      <c r="A34" s="37"/>
      <c r="B34" s="38" t="s">
        <v>233</v>
      </c>
      <c r="C34" s="35"/>
      <c r="D34" s="169">
        <v>45010.71515233571</v>
      </c>
      <c r="E34" s="61">
        <v>100</v>
      </c>
      <c r="F34" s="62">
        <v>83.770706134279195</v>
      </c>
      <c r="G34" s="62">
        <v>49.982774199670203</v>
      </c>
      <c r="H34" s="62">
        <v>33.787931934609638</v>
      </c>
      <c r="I34" s="62">
        <v>16.229293865720809</v>
      </c>
    </row>
    <row r="35" spans="1:9" s="19" customFormat="1" ht="15" customHeight="1" x14ac:dyDescent="0.25">
      <c r="A35" s="37"/>
      <c r="B35" s="38" t="s">
        <v>234</v>
      </c>
      <c r="C35" s="35"/>
      <c r="D35" s="169">
        <v>19949.137927158521</v>
      </c>
      <c r="E35" s="61">
        <v>100</v>
      </c>
      <c r="F35" s="62">
        <v>85.604619759705685</v>
      </c>
      <c r="G35" s="62">
        <v>59.961445414276142</v>
      </c>
      <c r="H35" s="62">
        <v>25.643174345426527</v>
      </c>
      <c r="I35" s="62">
        <v>14.395380240294312</v>
      </c>
    </row>
    <row r="36" spans="1:9" s="19" customFormat="1" ht="15" customHeight="1" x14ac:dyDescent="0.25">
      <c r="A36" s="33" t="s">
        <v>46</v>
      </c>
      <c r="B36" s="34"/>
      <c r="C36" s="36" t="s">
        <v>19</v>
      </c>
      <c r="D36" s="169"/>
      <c r="E36" s="61"/>
      <c r="F36" s="178"/>
      <c r="G36" s="62"/>
      <c r="H36" s="62"/>
      <c r="I36" s="62"/>
    </row>
    <row r="37" spans="1:9" s="19" customFormat="1" ht="15" customHeight="1" x14ac:dyDescent="0.25">
      <c r="A37" s="37"/>
      <c r="B37" s="38" t="s">
        <v>47</v>
      </c>
      <c r="C37" s="35"/>
      <c r="D37" s="169">
        <v>32399.76114896416</v>
      </c>
      <c r="E37" s="61">
        <v>100</v>
      </c>
      <c r="F37" s="62">
        <v>82.752317374753147</v>
      </c>
      <c r="G37" s="62">
        <v>49.035482209479966</v>
      </c>
      <c r="H37" s="62">
        <v>33.716835165272158</v>
      </c>
      <c r="I37" s="62">
        <v>17.247682625246856</v>
      </c>
    </row>
    <row r="38" spans="1:9" s="19" customFormat="1" ht="15" customHeight="1" x14ac:dyDescent="0.25">
      <c r="A38" s="37"/>
      <c r="B38" s="38" t="s">
        <v>48</v>
      </c>
      <c r="C38" s="35"/>
      <c r="D38" s="169">
        <v>32560.091930530634</v>
      </c>
      <c r="E38" s="61">
        <v>100</v>
      </c>
      <c r="F38" s="62">
        <v>85.907694831179498</v>
      </c>
      <c r="G38" s="62">
        <v>57.039201531037698</v>
      </c>
      <c r="H38" s="62">
        <v>28.86849330014071</v>
      </c>
      <c r="I38" s="62">
        <v>14.0923051688205</v>
      </c>
    </row>
    <row r="39" spans="1:9" s="19" customFormat="1" ht="15" customHeight="1" x14ac:dyDescent="0.25">
      <c r="A39" s="37" t="s">
        <v>49</v>
      </c>
      <c r="B39" s="38"/>
      <c r="C39" s="36" t="s">
        <v>19</v>
      </c>
      <c r="D39" s="169"/>
      <c r="E39" s="61"/>
      <c r="F39" s="178"/>
      <c r="G39" s="62"/>
      <c r="H39" s="62"/>
      <c r="I39" s="62"/>
    </row>
    <row r="40" spans="1:9" s="19" customFormat="1" ht="15" customHeight="1" x14ac:dyDescent="0.25">
      <c r="A40" s="37"/>
      <c r="B40" s="38" t="s">
        <v>107</v>
      </c>
      <c r="C40" s="36"/>
      <c r="D40" s="169">
        <v>1745.5889358515776</v>
      </c>
      <c r="E40" s="61">
        <v>100</v>
      </c>
      <c r="F40" s="62">
        <v>83.736109562673562</v>
      </c>
      <c r="G40" s="62">
        <v>43.505268209243191</v>
      </c>
      <c r="H40" s="62">
        <v>40.230841353429881</v>
      </c>
      <c r="I40" s="62">
        <v>16.263890437326435</v>
      </c>
    </row>
    <row r="41" spans="1:9" s="19" customFormat="1" ht="15" customHeight="1" x14ac:dyDescent="0.25">
      <c r="A41" s="37"/>
      <c r="B41" s="38" t="s">
        <v>108</v>
      </c>
      <c r="C41" s="36"/>
      <c r="D41" s="169">
        <v>1064.9479498777655</v>
      </c>
      <c r="E41" s="61">
        <v>100</v>
      </c>
      <c r="F41" s="62">
        <v>84.504356751430024</v>
      </c>
      <c r="G41" s="62">
        <v>49.834399765988735</v>
      </c>
      <c r="H41" s="62">
        <v>34.669956985441608</v>
      </c>
      <c r="I41" s="62">
        <v>15.495643248569975</v>
      </c>
    </row>
    <row r="42" spans="1:9" s="19" customFormat="1" ht="15" customHeight="1" x14ac:dyDescent="0.25">
      <c r="A42" s="37"/>
      <c r="B42" s="38" t="s">
        <v>109</v>
      </c>
      <c r="C42" s="36"/>
      <c r="D42" s="169">
        <v>8619.0759412223324</v>
      </c>
      <c r="E42" s="61">
        <v>100</v>
      </c>
      <c r="F42" s="62">
        <v>81.193582402292904</v>
      </c>
      <c r="G42" s="62">
        <v>48.342604735768539</v>
      </c>
      <c r="H42" s="62">
        <v>32.850977666527491</v>
      </c>
      <c r="I42" s="62">
        <v>18.806417597707096</v>
      </c>
    </row>
    <row r="43" spans="1:9" s="19" customFormat="1" ht="15" customHeight="1" x14ac:dyDescent="0.25">
      <c r="A43" s="37"/>
      <c r="B43" s="38" t="s">
        <v>110</v>
      </c>
      <c r="C43" s="36"/>
      <c r="D43" s="169">
        <v>11493.444729573315</v>
      </c>
      <c r="E43" s="61">
        <v>100</v>
      </c>
      <c r="F43" s="62">
        <v>82.410890850113816</v>
      </c>
      <c r="G43" s="62">
        <v>48.578643123786364</v>
      </c>
      <c r="H43" s="62">
        <v>33.832247726327054</v>
      </c>
      <c r="I43" s="62">
        <v>17.589109149886191</v>
      </c>
    </row>
    <row r="44" spans="1:9" s="19" customFormat="1" ht="15" customHeight="1" x14ac:dyDescent="0.25">
      <c r="A44" s="37"/>
      <c r="B44" s="38" t="s">
        <v>111</v>
      </c>
      <c r="C44" s="36"/>
      <c r="D44" s="169">
        <v>14471.152017009927</v>
      </c>
      <c r="E44" s="61">
        <v>100</v>
      </c>
      <c r="F44" s="62">
        <v>84.346357997240602</v>
      </c>
      <c r="G44" s="62">
        <v>49.744417556958339</v>
      </c>
      <c r="H44" s="62">
        <v>34.601940440281872</v>
      </c>
      <c r="I44" s="62">
        <v>15.653642002759391</v>
      </c>
    </row>
    <row r="45" spans="1:9" s="19" customFormat="1" ht="15" customHeight="1" x14ac:dyDescent="0.25">
      <c r="A45" s="37"/>
      <c r="B45" s="38" t="s">
        <v>112</v>
      </c>
      <c r="C45" s="36"/>
      <c r="D45" s="169">
        <v>12114.527636708999</v>
      </c>
      <c r="E45" s="61">
        <v>100</v>
      </c>
      <c r="F45" s="62">
        <v>83.733742830012545</v>
      </c>
      <c r="G45" s="62">
        <v>51.350802588762946</v>
      </c>
      <c r="H45" s="62">
        <v>32.38294024125063</v>
      </c>
      <c r="I45" s="62">
        <v>16.266257169987455</v>
      </c>
    </row>
    <row r="46" spans="1:9" s="19" customFormat="1" ht="15" customHeight="1" x14ac:dyDescent="0.25">
      <c r="A46" s="37"/>
      <c r="B46" s="38" t="s">
        <v>113</v>
      </c>
      <c r="C46" s="36"/>
      <c r="D46" s="169">
        <v>5287.344295678281</v>
      </c>
      <c r="E46" s="61">
        <v>100</v>
      </c>
      <c r="F46" s="62">
        <v>86.870496561772015</v>
      </c>
      <c r="G46" s="62">
        <v>60.471930041582276</v>
      </c>
      <c r="H46" s="62">
        <v>26.398566520193985</v>
      </c>
      <c r="I46" s="62">
        <v>13.129503438227985</v>
      </c>
    </row>
    <row r="47" spans="1:9" s="19" customFormat="1" ht="15" customHeight="1" x14ac:dyDescent="0.25">
      <c r="A47" s="37"/>
      <c r="B47" s="38" t="s">
        <v>114</v>
      </c>
      <c r="C47" s="36"/>
      <c r="D47" s="169">
        <v>10163.771573571617</v>
      </c>
      <c r="E47" s="61">
        <v>100</v>
      </c>
      <c r="F47" s="62">
        <v>88.634379255997459</v>
      </c>
      <c r="G47" s="62">
        <v>66.927518405793975</v>
      </c>
      <c r="H47" s="62">
        <v>21.706860850205029</v>
      </c>
      <c r="I47" s="62">
        <v>11.365620744002539</v>
      </c>
    </row>
    <row r="48" spans="1:9" s="19" customFormat="1" ht="6" customHeight="1" x14ac:dyDescent="0.25">
      <c r="A48" s="39"/>
      <c r="B48" s="40"/>
      <c r="C48" s="82"/>
      <c r="D48" s="170"/>
      <c r="E48" s="83"/>
      <c r="F48" s="179"/>
      <c r="G48" s="84"/>
      <c r="H48" s="84"/>
      <c r="I48" s="84"/>
    </row>
    <row r="49" spans="1:9" s="19" customFormat="1" ht="12" customHeight="1" x14ac:dyDescent="0.25">
      <c r="A49" s="33" t="s">
        <v>50</v>
      </c>
      <c r="B49" s="34"/>
      <c r="C49" s="36" t="s">
        <v>19</v>
      </c>
      <c r="D49" s="169"/>
      <c r="E49" s="61"/>
      <c r="F49" s="178"/>
      <c r="G49" s="62"/>
      <c r="H49" s="62"/>
      <c r="I49" s="62"/>
    </row>
    <row r="50" spans="1:9" s="19" customFormat="1" ht="12" customHeight="1" x14ac:dyDescent="0.25">
      <c r="A50" s="37"/>
      <c r="B50" s="38" t="s">
        <v>3</v>
      </c>
      <c r="C50" s="35"/>
      <c r="D50" s="169">
        <v>3662.4814202836792</v>
      </c>
      <c r="E50" s="61">
        <v>100</v>
      </c>
      <c r="F50" s="62">
        <v>92.94696293167631</v>
      </c>
      <c r="G50" s="62">
        <v>76.319037988489029</v>
      </c>
      <c r="H50" s="62">
        <v>16.627924943186859</v>
      </c>
      <c r="I50" s="62">
        <v>7.0530370683236914</v>
      </c>
    </row>
    <row r="51" spans="1:9" s="19" customFormat="1" ht="12" customHeight="1" x14ac:dyDescent="0.25">
      <c r="A51" s="37"/>
      <c r="B51" s="38" t="s">
        <v>115</v>
      </c>
      <c r="C51" s="35"/>
      <c r="D51" s="169">
        <v>4681.1979685528095</v>
      </c>
      <c r="E51" s="61">
        <v>100</v>
      </c>
      <c r="F51" s="62">
        <v>88.405406242555571</v>
      </c>
      <c r="G51" s="62">
        <v>66.477783586764005</v>
      </c>
      <c r="H51" s="62">
        <v>21.927622655790284</v>
      </c>
      <c r="I51" s="62">
        <v>11.594593757444427</v>
      </c>
    </row>
    <row r="52" spans="1:9" s="19" customFormat="1" ht="12" customHeight="1" x14ac:dyDescent="0.25">
      <c r="A52" s="37"/>
      <c r="B52" s="38" t="s">
        <v>116</v>
      </c>
      <c r="C52" s="35"/>
      <c r="D52" s="169">
        <v>17173.428839629785</v>
      </c>
      <c r="E52" s="61">
        <v>100</v>
      </c>
      <c r="F52" s="62">
        <v>87.436485262576539</v>
      </c>
      <c r="G52" s="62">
        <v>54.2689198953016</v>
      </c>
      <c r="H52" s="62">
        <v>33.167565367275138</v>
      </c>
      <c r="I52" s="62">
        <v>12.563514737423459</v>
      </c>
    </row>
    <row r="53" spans="1:9" s="19" customFormat="1" ht="12" customHeight="1" x14ac:dyDescent="0.25">
      <c r="A53" s="37"/>
      <c r="B53" s="38" t="s">
        <v>51</v>
      </c>
      <c r="C53" s="35"/>
      <c r="D53" s="169">
        <v>7359.5474660538212</v>
      </c>
      <c r="E53" s="61">
        <v>100</v>
      </c>
      <c r="F53" s="62">
        <v>84.147104747416506</v>
      </c>
      <c r="G53" s="62">
        <v>53.900175641603596</v>
      </c>
      <c r="H53" s="62">
        <v>30.246929105813152</v>
      </c>
      <c r="I53" s="62">
        <v>15.852895252583501</v>
      </c>
    </row>
    <row r="54" spans="1:9" s="19" customFormat="1" ht="12" customHeight="1" x14ac:dyDescent="0.25">
      <c r="A54" s="37"/>
      <c r="B54" s="38" t="s">
        <v>52</v>
      </c>
      <c r="C54" s="35"/>
      <c r="D54" s="169">
        <v>23772.087590406398</v>
      </c>
      <c r="E54" s="61">
        <v>100</v>
      </c>
      <c r="F54" s="62">
        <v>82.40408010096364</v>
      </c>
      <c r="G54" s="62">
        <v>49.549764208765588</v>
      </c>
      <c r="H54" s="62">
        <v>32.854315892197768</v>
      </c>
      <c r="I54" s="62">
        <v>17.595919899036364</v>
      </c>
    </row>
    <row r="55" spans="1:9" s="19" customFormat="1" ht="12" customHeight="1" x14ac:dyDescent="0.25">
      <c r="A55" s="37"/>
      <c r="B55" s="38" t="s">
        <v>4</v>
      </c>
      <c r="C55" s="35"/>
      <c r="D55" s="169">
        <v>8249.9009293799427</v>
      </c>
      <c r="E55" s="61">
        <v>100</v>
      </c>
      <c r="F55" s="62">
        <v>77.40088976350647</v>
      </c>
      <c r="G55" s="62">
        <v>41.686636978514628</v>
      </c>
      <c r="H55" s="62">
        <v>35.714252784991572</v>
      </c>
      <c r="I55" s="62">
        <v>22.59911023649353</v>
      </c>
    </row>
    <row r="56" spans="1:9" s="19" customFormat="1" ht="12" customHeight="1" x14ac:dyDescent="0.25">
      <c r="A56" s="37"/>
      <c r="B56" s="38" t="s">
        <v>117</v>
      </c>
      <c r="C56" s="35"/>
      <c r="D56" s="169">
        <v>61.208865187846989</v>
      </c>
      <c r="E56" s="61">
        <v>100</v>
      </c>
      <c r="F56" s="62">
        <v>93.490938681322774</v>
      </c>
      <c r="G56" s="62">
        <v>77.611922217494921</v>
      </c>
      <c r="H56" s="62">
        <v>15.879016463827814</v>
      </c>
      <c r="I56" s="62">
        <v>6.5090613186772233</v>
      </c>
    </row>
    <row r="57" spans="1:9" s="19" customFormat="1" ht="12" customHeight="1" x14ac:dyDescent="0.25">
      <c r="A57" s="37" t="s">
        <v>53</v>
      </c>
      <c r="B57" s="38"/>
      <c r="C57" s="36" t="s">
        <v>19</v>
      </c>
      <c r="D57" s="169"/>
      <c r="E57" s="61"/>
      <c r="F57" s="178"/>
      <c r="G57" s="62"/>
      <c r="H57" s="62"/>
      <c r="I57" s="62"/>
    </row>
    <row r="58" spans="1:9" s="19" customFormat="1" ht="12" customHeight="1" x14ac:dyDescent="0.25">
      <c r="A58" s="37"/>
      <c r="B58" s="38" t="s">
        <v>54</v>
      </c>
      <c r="C58" s="36"/>
      <c r="D58" s="169">
        <v>1858.1567982429931</v>
      </c>
      <c r="E58" s="61">
        <v>100</v>
      </c>
      <c r="F58" s="62">
        <v>94.396912491676332</v>
      </c>
      <c r="G58" s="62">
        <v>74.98572209976291</v>
      </c>
      <c r="H58" s="62">
        <v>19.411190391913124</v>
      </c>
      <c r="I58" s="62">
        <v>5.6030875083236715</v>
      </c>
    </row>
    <row r="59" spans="1:9" s="19" customFormat="1" ht="12" customHeight="1" x14ac:dyDescent="0.25">
      <c r="A59" s="37"/>
      <c r="B59" s="38" t="s">
        <v>55</v>
      </c>
      <c r="C59" s="36"/>
      <c r="D59" s="169">
        <v>14342.039471561147</v>
      </c>
      <c r="E59" s="61">
        <v>100</v>
      </c>
      <c r="F59" s="62">
        <v>81.795667965615507</v>
      </c>
      <c r="G59" s="62">
        <v>44.52315171170396</v>
      </c>
      <c r="H59" s="62">
        <v>37.272516253909664</v>
      </c>
      <c r="I59" s="62">
        <v>18.204332034384493</v>
      </c>
    </row>
    <row r="60" spans="1:9" s="19" customFormat="1" ht="12" customHeight="1" x14ac:dyDescent="0.25">
      <c r="A60" s="37"/>
      <c r="B60" s="38" t="s">
        <v>211</v>
      </c>
      <c r="C60" s="36"/>
      <c r="D60" s="169">
        <v>3046.0184699973133</v>
      </c>
      <c r="E60" s="61">
        <v>100</v>
      </c>
      <c r="F60" s="62">
        <v>85.176673844289439</v>
      </c>
      <c r="G60" s="62">
        <v>49.670838513006473</v>
      </c>
      <c r="H60" s="62">
        <v>35.505835331282753</v>
      </c>
      <c r="I60" s="62">
        <v>14.823326155710568</v>
      </c>
    </row>
    <row r="61" spans="1:9" s="19" customFormat="1" ht="12" customHeight="1" x14ac:dyDescent="0.25">
      <c r="A61" s="37"/>
      <c r="B61" s="38" t="s">
        <v>212</v>
      </c>
      <c r="C61" s="36"/>
      <c r="D61" s="169">
        <v>1904.7662683013382</v>
      </c>
      <c r="E61" s="61">
        <v>100</v>
      </c>
      <c r="F61" s="62">
        <v>83.775729997993295</v>
      </c>
      <c r="G61" s="62">
        <v>51.316130859432285</v>
      </c>
      <c r="H61" s="62">
        <v>32.459599138561181</v>
      </c>
      <c r="I61" s="62">
        <v>16.224270002006701</v>
      </c>
    </row>
    <row r="62" spans="1:9" s="19" customFormat="1" ht="12" customHeight="1" x14ac:dyDescent="0.25">
      <c r="A62" s="37"/>
      <c r="B62" s="38" t="s">
        <v>56</v>
      </c>
      <c r="C62" s="36"/>
      <c r="D62" s="169">
        <v>20617.456120824885</v>
      </c>
      <c r="E62" s="61">
        <v>100</v>
      </c>
      <c r="F62" s="62">
        <v>81.650383127675767</v>
      </c>
      <c r="G62" s="62">
        <v>47.852272159335044</v>
      </c>
      <c r="H62" s="62">
        <v>33.798110968339103</v>
      </c>
      <c r="I62" s="62">
        <v>18.34961687232423</v>
      </c>
    </row>
    <row r="63" spans="1:9" s="19" customFormat="1" ht="12" customHeight="1" x14ac:dyDescent="0.25">
      <c r="A63" s="37"/>
      <c r="B63" s="38" t="s">
        <v>57</v>
      </c>
      <c r="C63" s="36"/>
      <c r="D63" s="169">
        <v>3798.9002068525861</v>
      </c>
      <c r="E63" s="61">
        <v>100</v>
      </c>
      <c r="F63" s="62">
        <v>82.48954452060697</v>
      </c>
      <c r="G63" s="62">
        <v>44.256399203063054</v>
      </c>
      <c r="H63" s="62">
        <v>38.233145317544597</v>
      </c>
      <c r="I63" s="62">
        <v>17.510455479393027</v>
      </c>
    </row>
    <row r="64" spans="1:9" s="19" customFormat="1" ht="12" customHeight="1" x14ac:dyDescent="0.25">
      <c r="A64" s="37"/>
      <c r="B64" s="38" t="s">
        <v>204</v>
      </c>
      <c r="C64" s="36"/>
      <c r="D64" s="169">
        <v>161.46251086816454</v>
      </c>
      <c r="E64" s="61">
        <v>100</v>
      </c>
      <c r="F64" s="62">
        <v>87.511808103746418</v>
      </c>
      <c r="G64" s="62">
        <v>46.164282579400833</v>
      </c>
      <c r="H64" s="62">
        <v>41.347525524345393</v>
      </c>
      <c r="I64" s="62">
        <v>12.488191896253577</v>
      </c>
    </row>
    <row r="65" spans="1:9" s="19" customFormat="1" ht="12" customHeight="1" x14ac:dyDescent="0.25">
      <c r="A65" s="37"/>
      <c r="B65" s="38" t="s">
        <v>58</v>
      </c>
      <c r="C65" s="36"/>
      <c r="D65" s="169">
        <v>5782.3175242788238</v>
      </c>
      <c r="E65" s="61">
        <v>100</v>
      </c>
      <c r="F65" s="62">
        <v>90.849476185177252</v>
      </c>
      <c r="G65" s="62">
        <v>71.291376642856136</v>
      </c>
      <c r="H65" s="62">
        <v>19.558099542320647</v>
      </c>
      <c r="I65" s="62">
        <v>9.150523814822753</v>
      </c>
    </row>
    <row r="66" spans="1:9" s="19" customFormat="1" ht="12" customHeight="1" x14ac:dyDescent="0.25">
      <c r="A66" s="37"/>
      <c r="B66" s="38" t="s">
        <v>59</v>
      </c>
      <c r="C66" s="36"/>
      <c r="D66" s="169">
        <v>8199.5477880629624</v>
      </c>
      <c r="E66" s="61">
        <v>100</v>
      </c>
      <c r="F66" s="62">
        <v>88.758143374581991</v>
      </c>
      <c r="G66" s="62">
        <v>67.00800052196044</v>
      </c>
      <c r="H66" s="62">
        <v>21.750142852621803</v>
      </c>
      <c r="I66" s="62">
        <v>11.241856625418011</v>
      </c>
    </row>
    <row r="67" spans="1:9" s="19" customFormat="1" ht="12" customHeight="1" x14ac:dyDescent="0.25">
      <c r="A67" s="37"/>
      <c r="B67" s="38" t="s">
        <v>61</v>
      </c>
      <c r="C67" s="36"/>
      <c r="D67" s="169">
        <v>3353.3011970360885</v>
      </c>
      <c r="E67" s="61">
        <v>100</v>
      </c>
      <c r="F67" s="62">
        <v>82.48789641427831</v>
      </c>
      <c r="G67" s="62">
        <v>50.609154105732117</v>
      </c>
      <c r="H67" s="62">
        <v>31.878742308546389</v>
      </c>
      <c r="I67" s="62">
        <v>17.512103585721697</v>
      </c>
    </row>
    <row r="68" spans="1:9" s="19" customFormat="1" ht="12" customHeight="1" x14ac:dyDescent="0.25">
      <c r="A68" s="37"/>
      <c r="B68" s="38" t="s">
        <v>60</v>
      </c>
      <c r="C68" s="36"/>
      <c r="D68" s="169">
        <v>1772.0729445072873</v>
      </c>
      <c r="E68" s="61">
        <v>100</v>
      </c>
      <c r="F68" s="62">
        <v>89.392502095268625</v>
      </c>
      <c r="G68" s="62">
        <v>67.356454893293588</v>
      </c>
      <c r="H68" s="62">
        <v>22.036047201975077</v>
      </c>
      <c r="I68" s="62">
        <v>10.607497904731378</v>
      </c>
    </row>
    <row r="69" spans="1:9" s="19" customFormat="1" ht="12" customHeight="1" x14ac:dyDescent="0.25">
      <c r="A69" s="37"/>
      <c r="B69" s="38" t="s">
        <v>117</v>
      </c>
      <c r="C69" s="36"/>
      <c r="D69" s="169">
        <v>123.81377896109839</v>
      </c>
      <c r="E69" s="61">
        <v>100</v>
      </c>
      <c r="F69" s="62">
        <v>94.798181875656041</v>
      </c>
      <c r="G69" s="62">
        <v>49.295545804616587</v>
      </c>
      <c r="H69" s="62">
        <v>45.502636071039454</v>
      </c>
      <c r="I69" s="62">
        <v>5.2018181243439621</v>
      </c>
    </row>
    <row r="70" spans="1:9" s="19" customFormat="1" ht="12" customHeight="1" x14ac:dyDescent="0.25">
      <c r="A70" s="37" t="s">
        <v>5</v>
      </c>
      <c r="B70" s="38"/>
      <c r="C70" s="36" t="s">
        <v>19</v>
      </c>
      <c r="D70" s="169"/>
      <c r="E70" s="61"/>
      <c r="F70" s="178"/>
      <c r="G70" s="62"/>
      <c r="H70" s="62"/>
      <c r="I70" s="62"/>
    </row>
    <row r="71" spans="1:9" s="19" customFormat="1" ht="12" customHeight="1" x14ac:dyDescent="0.25">
      <c r="A71" s="37"/>
      <c r="B71" s="38" t="s">
        <v>6</v>
      </c>
      <c r="C71" s="35"/>
      <c r="D71" s="169">
        <v>29161.831382709901</v>
      </c>
      <c r="E71" s="61">
        <v>100</v>
      </c>
      <c r="F71" s="62">
        <v>81.142677298218359</v>
      </c>
      <c r="G71" s="62">
        <v>42.8185639126973</v>
      </c>
      <c r="H71" s="62">
        <v>38.324113385521322</v>
      </c>
      <c r="I71" s="62">
        <v>18.857322701781641</v>
      </c>
    </row>
    <row r="72" spans="1:9" s="19" customFormat="1" ht="12" customHeight="1" x14ac:dyDescent="0.25">
      <c r="A72" s="37"/>
      <c r="B72" s="38" t="s">
        <v>7</v>
      </c>
      <c r="C72" s="35"/>
      <c r="D72" s="169">
        <v>2949.6970960377512</v>
      </c>
      <c r="E72" s="61">
        <v>100</v>
      </c>
      <c r="F72" s="62">
        <v>82.693799877423416</v>
      </c>
      <c r="G72" s="62">
        <v>47.29516725327759</v>
      </c>
      <c r="H72" s="62">
        <v>35.398632624145947</v>
      </c>
      <c r="I72" s="62">
        <v>17.306200122576584</v>
      </c>
    </row>
    <row r="73" spans="1:9" s="19" customFormat="1" ht="12" customHeight="1" x14ac:dyDescent="0.25">
      <c r="A73" s="37"/>
      <c r="B73" s="38" t="s">
        <v>122</v>
      </c>
      <c r="C73" s="35"/>
      <c r="D73" s="169">
        <v>3081.1634648629743</v>
      </c>
      <c r="E73" s="61">
        <v>100</v>
      </c>
      <c r="F73" s="62">
        <v>72.7071425761699</v>
      </c>
      <c r="G73" s="62">
        <v>34.37193014390418</v>
      </c>
      <c r="H73" s="62">
        <v>38.335212432265571</v>
      </c>
      <c r="I73" s="62">
        <v>27.2928574238301</v>
      </c>
    </row>
    <row r="74" spans="1:9" s="19" customFormat="1" ht="12" customHeight="1" x14ac:dyDescent="0.25">
      <c r="A74" s="37"/>
      <c r="B74" s="38" t="s">
        <v>8</v>
      </c>
      <c r="C74" s="35"/>
      <c r="D74" s="169">
        <v>11091.000128260663</v>
      </c>
      <c r="E74" s="61">
        <v>100</v>
      </c>
      <c r="F74" s="62">
        <v>95.480914410215846</v>
      </c>
      <c r="G74" s="62">
        <v>77.564460491738686</v>
      </c>
      <c r="H74" s="62">
        <v>17.916453918476318</v>
      </c>
      <c r="I74" s="62">
        <v>4.5190855897841491</v>
      </c>
    </row>
    <row r="75" spans="1:9" s="19" customFormat="1" ht="12" customHeight="1" x14ac:dyDescent="0.25">
      <c r="A75" s="37"/>
      <c r="B75" s="38" t="s">
        <v>9</v>
      </c>
      <c r="C75" s="35"/>
      <c r="D75" s="169">
        <v>10939.792488822171</v>
      </c>
      <c r="E75" s="61">
        <v>100</v>
      </c>
      <c r="F75" s="62">
        <v>86.296691305533002</v>
      </c>
      <c r="G75" s="62">
        <v>55.956213137557427</v>
      </c>
      <c r="H75" s="62">
        <v>30.340478167976141</v>
      </c>
      <c r="I75" s="62">
        <v>13.703308694467001</v>
      </c>
    </row>
    <row r="76" spans="1:9" s="19" customFormat="1" ht="12" customHeight="1" x14ac:dyDescent="0.25">
      <c r="A76" s="37"/>
      <c r="B76" s="38" t="s">
        <v>10</v>
      </c>
      <c r="C76" s="35"/>
      <c r="D76" s="169">
        <v>7736.3685188007394</v>
      </c>
      <c r="E76" s="61">
        <v>100</v>
      </c>
      <c r="F76" s="62">
        <v>82.86287058515326</v>
      </c>
      <c r="G76" s="62">
        <v>61.972624564319439</v>
      </c>
      <c r="H76" s="62">
        <v>20.890246020834081</v>
      </c>
      <c r="I76" s="62">
        <v>17.137129414846736</v>
      </c>
    </row>
    <row r="77" spans="1:9" s="19" customFormat="1" ht="12" customHeight="1" x14ac:dyDescent="0.25">
      <c r="A77" s="33" t="s">
        <v>88</v>
      </c>
      <c r="B77" s="34"/>
      <c r="C77" s="36" t="s">
        <v>19</v>
      </c>
      <c r="D77" s="169"/>
      <c r="E77" s="61"/>
      <c r="F77" s="178"/>
      <c r="G77" s="62"/>
      <c r="H77" s="62"/>
      <c r="I77" s="62"/>
    </row>
    <row r="78" spans="1:9" s="19" customFormat="1" ht="12" customHeight="1" x14ac:dyDescent="0.25">
      <c r="A78" s="37"/>
      <c r="B78" s="196" t="s">
        <v>106</v>
      </c>
      <c r="C78" s="35"/>
      <c r="D78" s="169">
        <v>8434.9697020608928</v>
      </c>
      <c r="E78" s="61">
        <v>100</v>
      </c>
      <c r="F78" s="62">
        <v>60.918250054505656</v>
      </c>
      <c r="G78" s="62">
        <v>23.13284621719075</v>
      </c>
      <c r="H78" s="62">
        <v>37.785403837314142</v>
      </c>
      <c r="I78" s="62">
        <v>39.081749945494344</v>
      </c>
    </row>
    <row r="79" spans="1:9" s="19" customFormat="1" ht="12" customHeight="1" x14ac:dyDescent="0.25">
      <c r="A79" s="37"/>
      <c r="B79" s="38" t="s">
        <v>89</v>
      </c>
      <c r="C79" s="35"/>
      <c r="D79" s="169">
        <v>8643.4809009392266</v>
      </c>
      <c r="E79" s="61">
        <v>100</v>
      </c>
      <c r="F79" s="62">
        <v>90.623951486596425</v>
      </c>
      <c r="G79" s="62">
        <v>77.269736258761824</v>
      </c>
      <c r="H79" s="62">
        <v>13.354215227835375</v>
      </c>
      <c r="I79" s="62">
        <v>9.3760485134035765</v>
      </c>
    </row>
    <row r="80" spans="1:9" s="19" customFormat="1" ht="12" customHeight="1" x14ac:dyDescent="0.25">
      <c r="A80" s="37"/>
      <c r="B80" s="38" t="s">
        <v>90</v>
      </c>
      <c r="C80" s="35"/>
      <c r="D80" s="169">
        <v>50616.262190942973</v>
      </c>
      <c r="E80" s="61">
        <v>100</v>
      </c>
      <c r="F80" s="62">
        <v>84.978476658689857</v>
      </c>
      <c r="G80" s="62">
        <v>51.560528971809504</v>
      </c>
      <c r="H80" s="62">
        <v>33.417947686875628</v>
      </c>
      <c r="I80" s="62">
        <v>15.021523341310147</v>
      </c>
    </row>
    <row r="81" spans="1:9" s="19" customFormat="1" ht="12" customHeight="1" x14ac:dyDescent="0.25">
      <c r="A81" s="37" t="s">
        <v>72</v>
      </c>
      <c r="B81" s="34"/>
      <c r="C81" s="36" t="s">
        <v>19</v>
      </c>
      <c r="D81" s="169"/>
      <c r="E81" s="61"/>
      <c r="F81" s="178"/>
      <c r="G81" s="62"/>
      <c r="H81" s="62"/>
      <c r="I81" s="62"/>
    </row>
    <row r="82" spans="1:9" s="19" customFormat="1" ht="12" customHeight="1" x14ac:dyDescent="0.25">
      <c r="A82" s="37"/>
      <c r="B82" s="38" t="s">
        <v>123</v>
      </c>
      <c r="C82" s="35"/>
      <c r="D82" s="169">
        <v>4031.9924900357187</v>
      </c>
      <c r="E82" s="61">
        <v>100</v>
      </c>
      <c r="F82" s="62">
        <v>77.803751452255483</v>
      </c>
      <c r="G82" s="62">
        <v>48.428218646091089</v>
      </c>
      <c r="H82" s="62">
        <v>29.375532806164305</v>
      </c>
      <c r="I82" s="62">
        <v>22.19624854774451</v>
      </c>
    </row>
    <row r="83" spans="1:9" s="19" customFormat="1" ht="12" customHeight="1" x14ac:dyDescent="0.25">
      <c r="A83" s="37"/>
      <c r="B83" s="38" t="s">
        <v>164</v>
      </c>
      <c r="C83" s="35"/>
      <c r="D83" s="169">
        <v>15917.234875966691</v>
      </c>
      <c r="E83" s="61">
        <v>100</v>
      </c>
      <c r="F83" s="62">
        <v>84.970589486845384</v>
      </c>
      <c r="G83" s="62">
        <v>52.352831917415202</v>
      </c>
      <c r="H83" s="62">
        <v>32.617757569430317</v>
      </c>
      <c r="I83" s="62">
        <v>15.029410513154618</v>
      </c>
    </row>
    <row r="84" spans="1:9" s="19" customFormat="1" ht="12" customHeight="1" x14ac:dyDescent="0.25">
      <c r="A84" s="37"/>
      <c r="B84" s="38" t="s">
        <v>219</v>
      </c>
      <c r="C84" s="35"/>
      <c r="D84" s="169">
        <v>7171.7152701565037</v>
      </c>
      <c r="E84" s="61">
        <v>100</v>
      </c>
      <c r="F84" s="62">
        <v>85.542912142497499</v>
      </c>
      <c r="G84" s="62">
        <v>59.417866638523705</v>
      </c>
      <c r="H84" s="62">
        <v>26.125045503973961</v>
      </c>
      <c r="I84" s="62">
        <v>14.457087857502504</v>
      </c>
    </row>
    <row r="85" spans="1:9" s="19" customFormat="1" ht="12" customHeight="1" x14ac:dyDescent="0.25">
      <c r="A85" s="37"/>
      <c r="B85" s="38" t="s">
        <v>214</v>
      </c>
      <c r="C85" s="35"/>
      <c r="D85" s="169">
        <v>5521.9149053128303</v>
      </c>
      <c r="E85" s="61">
        <v>100</v>
      </c>
      <c r="F85" s="62">
        <v>88.491413138647786</v>
      </c>
      <c r="G85" s="62">
        <v>64.078694746151356</v>
      </c>
      <c r="H85" s="62">
        <v>24.412718392496025</v>
      </c>
      <c r="I85" s="62">
        <v>11.508586861352219</v>
      </c>
    </row>
    <row r="86" spans="1:9" s="19" customFormat="1" ht="12" customHeight="1" x14ac:dyDescent="0.25">
      <c r="A86" s="37"/>
      <c r="B86" s="38" t="s">
        <v>216</v>
      </c>
      <c r="C86" s="35"/>
      <c r="D86" s="169">
        <v>3504.2134938782101</v>
      </c>
      <c r="E86" s="61">
        <v>100</v>
      </c>
      <c r="F86" s="62">
        <v>80.825515711113241</v>
      </c>
      <c r="G86" s="62">
        <v>50.114428419022481</v>
      </c>
      <c r="H86" s="62">
        <v>30.711087292090482</v>
      </c>
      <c r="I86" s="62">
        <v>19.174484288886767</v>
      </c>
    </row>
    <row r="87" spans="1:9" s="19" customFormat="1" ht="12" customHeight="1" x14ac:dyDescent="0.25">
      <c r="A87" s="37"/>
      <c r="B87" s="38" t="s">
        <v>220</v>
      </c>
      <c r="C87" s="35"/>
      <c r="D87" s="169">
        <v>6016.87632226401</v>
      </c>
      <c r="E87" s="61">
        <v>100</v>
      </c>
      <c r="F87" s="62">
        <v>83.718153993205391</v>
      </c>
      <c r="G87" s="62">
        <v>50.786883233134915</v>
      </c>
      <c r="H87" s="62">
        <v>32.931270760070376</v>
      </c>
      <c r="I87" s="62">
        <v>16.281846006794602</v>
      </c>
    </row>
    <row r="88" spans="1:9" s="19" customFormat="1" ht="12" customHeight="1" x14ac:dyDescent="0.25">
      <c r="A88" s="37"/>
      <c r="B88" s="38" t="s">
        <v>165</v>
      </c>
      <c r="C88" s="35"/>
      <c r="D88" s="169">
        <v>14232.915455832237</v>
      </c>
      <c r="E88" s="61">
        <v>100</v>
      </c>
      <c r="F88" s="62">
        <v>83.600817986090817</v>
      </c>
      <c r="G88" s="62">
        <v>48.350374144768331</v>
      </c>
      <c r="H88" s="62">
        <v>35.250443841321925</v>
      </c>
      <c r="I88" s="62">
        <v>16.399182013909179</v>
      </c>
    </row>
    <row r="89" spans="1:9" s="19" customFormat="1" ht="12" customHeight="1" x14ac:dyDescent="0.25">
      <c r="A89" s="37"/>
      <c r="B89" s="38" t="s">
        <v>158</v>
      </c>
      <c r="C89" s="35"/>
      <c r="D89" s="169">
        <v>6581.9845330882372</v>
      </c>
      <c r="E89" s="61">
        <v>100</v>
      </c>
      <c r="F89" s="62">
        <v>85.643704206090561</v>
      </c>
      <c r="G89" s="62">
        <v>54.419595861069801</v>
      </c>
      <c r="H89" s="62">
        <v>31.224108345021211</v>
      </c>
      <c r="I89" s="62">
        <v>14.356295793909434</v>
      </c>
    </row>
    <row r="90" spans="1:9" s="19" customFormat="1" ht="12" customHeight="1" x14ac:dyDescent="0.25">
      <c r="A90" s="37"/>
      <c r="B90" s="38" t="s">
        <v>159</v>
      </c>
      <c r="C90" s="35"/>
      <c r="D90" s="169">
        <v>1122.6620281066191</v>
      </c>
      <c r="E90" s="61">
        <v>100</v>
      </c>
      <c r="F90" s="62">
        <v>82.521991583916062</v>
      </c>
      <c r="G90" s="62">
        <v>45.883264996031897</v>
      </c>
      <c r="H90" s="62">
        <v>36.638726587884356</v>
      </c>
      <c r="I90" s="62">
        <v>17.478008416083942</v>
      </c>
    </row>
    <row r="91" spans="1:9" s="19" customFormat="1" ht="12" customHeight="1" x14ac:dyDescent="0.25">
      <c r="A91" s="37"/>
      <c r="B91" s="38" t="s">
        <v>75</v>
      </c>
      <c r="C91" s="35"/>
      <c r="D91" s="169">
        <v>858.34370485322324</v>
      </c>
      <c r="E91" s="61">
        <v>100</v>
      </c>
      <c r="F91" s="62">
        <v>89.475189509579167</v>
      </c>
      <c r="G91" s="62">
        <v>67.971283475467828</v>
      </c>
      <c r="H91" s="62">
        <v>21.503906034111193</v>
      </c>
      <c r="I91" s="62">
        <v>10.52481049042083</v>
      </c>
    </row>
    <row r="92" spans="1:9" s="19" customFormat="1" ht="12" customHeight="1" x14ac:dyDescent="0.25">
      <c r="A92" s="63"/>
      <c r="B92" s="64"/>
      <c r="C92" s="142"/>
      <c r="D92" s="171"/>
      <c r="E92" s="67"/>
      <c r="F92" s="69"/>
      <c r="G92" s="69"/>
      <c r="H92" s="69"/>
      <c r="I92" s="69"/>
    </row>
    <row r="93" spans="1:9" s="19" customFormat="1" ht="12" customHeight="1" x14ac:dyDescent="0.25">
      <c r="A93" s="30"/>
      <c r="B93" s="70"/>
      <c r="C93" s="143"/>
      <c r="D93" s="172"/>
      <c r="E93" s="110"/>
      <c r="F93" s="71"/>
      <c r="G93" s="71"/>
      <c r="H93" s="71"/>
      <c r="I93" s="71"/>
    </row>
    <row r="94" spans="1:9" s="19" customFormat="1" ht="12" customHeight="1" x14ac:dyDescent="0.25">
      <c r="A94" s="33" t="s">
        <v>62</v>
      </c>
      <c r="B94" s="34"/>
      <c r="C94" s="36" t="s">
        <v>19</v>
      </c>
      <c r="D94" s="169"/>
      <c r="E94" s="61"/>
      <c r="F94" s="62"/>
      <c r="G94" s="62"/>
      <c r="H94" s="62"/>
      <c r="I94" s="62"/>
    </row>
    <row r="95" spans="1:9" s="19" customFormat="1" ht="12" customHeight="1" x14ac:dyDescent="0.25">
      <c r="A95" s="37"/>
      <c r="B95" s="38" t="s">
        <v>129</v>
      </c>
      <c r="C95" s="35"/>
      <c r="D95" s="169">
        <v>48491.602810321609</v>
      </c>
      <c r="E95" s="61">
        <v>100</v>
      </c>
      <c r="F95" s="62">
        <v>85.6</v>
      </c>
      <c r="G95" s="62">
        <v>52.8</v>
      </c>
      <c r="H95" s="62">
        <v>32.799999999999997</v>
      </c>
      <c r="I95" s="62">
        <v>14.4</v>
      </c>
    </row>
    <row r="96" spans="1:9" s="19" customFormat="1" ht="12" customHeight="1" x14ac:dyDescent="0.25">
      <c r="A96" s="37"/>
      <c r="B96" s="38" t="s">
        <v>130</v>
      </c>
      <c r="C96" s="35"/>
      <c r="D96" s="169">
        <v>77792.30183809108</v>
      </c>
      <c r="E96" s="61">
        <v>100</v>
      </c>
      <c r="F96" s="62">
        <v>86.5</v>
      </c>
      <c r="G96" s="62">
        <v>53.2</v>
      </c>
      <c r="H96" s="62">
        <v>33.200000000000003</v>
      </c>
      <c r="I96" s="62">
        <v>13.5</v>
      </c>
    </row>
    <row r="97" spans="1:9" s="19" customFormat="1" ht="12" customHeight="1" x14ac:dyDescent="0.25">
      <c r="A97" s="37"/>
      <c r="B97" s="38" t="s">
        <v>131</v>
      </c>
      <c r="C97" s="35"/>
      <c r="D97" s="169">
        <v>77238.152616559571</v>
      </c>
      <c r="E97" s="61">
        <v>100</v>
      </c>
      <c r="F97" s="62">
        <v>86.1</v>
      </c>
      <c r="G97" s="62">
        <v>51.4</v>
      </c>
      <c r="H97" s="62">
        <v>34.700000000000003</v>
      </c>
      <c r="I97" s="62">
        <v>13.9</v>
      </c>
    </row>
    <row r="98" spans="1:9" s="19" customFormat="1" ht="12" customHeight="1" x14ac:dyDescent="0.25">
      <c r="A98" s="37"/>
      <c r="B98" s="38" t="s">
        <v>132</v>
      </c>
      <c r="C98" s="35"/>
      <c r="D98" s="169">
        <v>77749.589610507726</v>
      </c>
      <c r="E98" s="61">
        <v>100</v>
      </c>
      <c r="F98" s="62">
        <v>86.3</v>
      </c>
      <c r="G98" s="62">
        <v>51.4</v>
      </c>
      <c r="H98" s="62">
        <v>34.9</v>
      </c>
      <c r="I98" s="62">
        <v>13.7</v>
      </c>
    </row>
    <row r="99" spans="1:9" s="19" customFormat="1" ht="12" customHeight="1" x14ac:dyDescent="0.25">
      <c r="A99" s="37"/>
      <c r="B99" s="38" t="s">
        <v>133</v>
      </c>
      <c r="C99" s="35"/>
      <c r="D99" s="169">
        <v>73755.1513755755</v>
      </c>
      <c r="E99" s="61">
        <v>100</v>
      </c>
      <c r="F99" s="62">
        <v>85.8</v>
      </c>
      <c r="G99" s="62">
        <v>52.5</v>
      </c>
      <c r="H99" s="62">
        <v>33.299999999999997</v>
      </c>
      <c r="I99" s="62">
        <v>14.2</v>
      </c>
    </row>
    <row r="100" spans="1:9" s="19" customFormat="1" ht="12" customHeight="1" x14ac:dyDescent="0.25">
      <c r="A100" s="37"/>
      <c r="B100" s="38" t="s">
        <v>134</v>
      </c>
      <c r="C100" s="35"/>
      <c r="D100" s="169">
        <v>76194.665053140809</v>
      </c>
      <c r="E100" s="61">
        <v>100</v>
      </c>
      <c r="F100" s="62">
        <v>85.5</v>
      </c>
      <c r="G100" s="62">
        <v>52</v>
      </c>
      <c r="H100" s="62">
        <v>33.5</v>
      </c>
      <c r="I100" s="62">
        <v>14.5</v>
      </c>
    </row>
    <row r="101" spans="1:9" s="19" customFormat="1" ht="12" customHeight="1" x14ac:dyDescent="0.25">
      <c r="A101" s="37"/>
      <c r="B101" s="38" t="s">
        <v>135</v>
      </c>
      <c r="C101" s="35"/>
      <c r="D101" s="169">
        <v>75815.476902647817</v>
      </c>
      <c r="E101" s="61">
        <v>100</v>
      </c>
      <c r="F101" s="62">
        <v>85.9</v>
      </c>
      <c r="G101" s="62">
        <v>52.8</v>
      </c>
      <c r="H101" s="62">
        <v>33.200000000000003</v>
      </c>
      <c r="I101" s="62">
        <v>14.1</v>
      </c>
    </row>
    <row r="102" spans="1:9" s="19" customFormat="1" ht="12" customHeight="1" x14ac:dyDescent="0.25">
      <c r="A102" s="37"/>
      <c r="B102" s="38" t="s">
        <v>136</v>
      </c>
      <c r="C102" s="35"/>
      <c r="D102" s="169">
        <v>77439.97415406548</v>
      </c>
      <c r="E102" s="61">
        <v>100</v>
      </c>
      <c r="F102" s="62">
        <v>85.5</v>
      </c>
      <c r="G102" s="62">
        <v>52.4</v>
      </c>
      <c r="H102" s="62">
        <v>33</v>
      </c>
      <c r="I102" s="62">
        <v>14.5</v>
      </c>
    </row>
    <row r="103" spans="1:9" s="19" customFormat="1" ht="12" customHeight="1" x14ac:dyDescent="0.25">
      <c r="A103" s="37"/>
      <c r="B103" s="38" t="s">
        <v>192</v>
      </c>
      <c r="C103" s="35"/>
      <c r="D103" s="169">
        <v>71956.362176752053</v>
      </c>
      <c r="E103" s="61">
        <v>100</v>
      </c>
      <c r="F103" s="62">
        <v>85.652671880150393</v>
      </c>
      <c r="G103" s="62">
        <v>54.262057960951516</v>
      </c>
      <c r="H103" s="62">
        <v>31.390613919198866</v>
      </c>
      <c r="I103" s="62">
        <v>14.347328119849614</v>
      </c>
    </row>
    <row r="104" spans="1:9" s="19" customFormat="1" ht="12" customHeight="1" x14ac:dyDescent="0.25">
      <c r="A104" s="37"/>
      <c r="B104" s="38" t="s">
        <v>194</v>
      </c>
      <c r="C104" s="35"/>
      <c r="D104" s="169">
        <v>70595.373060230966</v>
      </c>
      <c r="E104" s="61">
        <v>100</v>
      </c>
      <c r="F104" s="62">
        <v>86.534564281209697</v>
      </c>
      <c r="G104" s="62">
        <v>55.898479423987567</v>
      </c>
      <c r="H104" s="62">
        <v>30.63608485721884</v>
      </c>
      <c r="I104" s="62">
        <v>13.465435718790303</v>
      </c>
    </row>
    <row r="105" spans="1:9" s="19" customFormat="1" ht="12" customHeight="1" x14ac:dyDescent="0.25">
      <c r="A105" s="37"/>
      <c r="B105" s="38" t="s">
        <v>205</v>
      </c>
      <c r="C105" s="35"/>
      <c r="D105" s="169">
        <f t="shared" ref="D105:I105" si="0">D$9</f>
        <v>64959.853079497778</v>
      </c>
      <c r="E105" s="61">
        <f t="shared" si="0"/>
        <v>100</v>
      </c>
      <c r="F105" s="62">
        <f t="shared" si="0"/>
        <v>84.333900078320454</v>
      </c>
      <c r="G105" s="62">
        <f t="shared" si="0"/>
        <v>53.047219067588188</v>
      </c>
      <c r="H105" s="62">
        <f t="shared" si="0"/>
        <v>31.286681010732856</v>
      </c>
      <c r="I105" s="62">
        <f t="shared" si="0"/>
        <v>15.66609992167955</v>
      </c>
    </row>
    <row r="106" spans="1:9" ht="5.0999999999999996" customHeight="1" x14ac:dyDescent="0.25">
      <c r="A106" s="111"/>
      <c r="B106" s="112"/>
      <c r="C106" s="180"/>
      <c r="D106" s="181"/>
      <c r="E106" s="117"/>
      <c r="F106" s="118"/>
      <c r="G106" s="118"/>
      <c r="H106" s="118"/>
      <c r="I106" s="118"/>
    </row>
  </sheetData>
  <mergeCells count="8">
    <mergeCell ref="A1:I1"/>
    <mergeCell ref="A3:I3"/>
    <mergeCell ref="A5:C7"/>
    <mergeCell ref="E5:E7"/>
    <mergeCell ref="F6:F7"/>
    <mergeCell ref="I6:I7"/>
    <mergeCell ref="A2:I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0AF7-36A1-4C5A-8A46-19ACD12E7F2B}">
  <sheetPr codeName="工作表77"/>
  <dimension ref="A14:I23"/>
  <sheetViews>
    <sheetView showGridLines="0" view="pageBreakPreview" zoomScale="120" zoomScaleNormal="85" zoomScaleSheetLayoutView="120" workbookViewId="0"/>
  </sheetViews>
  <sheetFormatPr defaultColWidth="9" defaultRowHeight="11.1" customHeight="1" x14ac:dyDescent="0.25"/>
  <cols>
    <col min="1" max="1" width="3.625" style="18" customWidth="1"/>
    <col min="2" max="2" width="9" style="44"/>
    <col min="3" max="3" width="9" style="48"/>
    <col min="4" max="5" width="9" style="46"/>
    <col min="6" max="8" width="9" style="47"/>
    <col min="9" max="16384" width="9" style="46"/>
  </cols>
  <sheetData>
    <row r="14" spans="2:9" ht="11.1" customHeight="1" thickBot="1" x14ac:dyDescent="0.3"/>
    <row r="15" spans="2:9" ht="11.1" customHeight="1" x14ac:dyDescent="0.25">
      <c r="B15" s="246" t="s">
        <v>240</v>
      </c>
      <c r="C15" s="247"/>
      <c r="D15" s="247"/>
      <c r="E15" s="247"/>
      <c r="F15" s="247"/>
      <c r="G15" s="247"/>
      <c r="H15" s="247"/>
      <c r="I15" s="248"/>
    </row>
    <row r="16" spans="2:9" ht="11.1" customHeight="1" x14ac:dyDescent="0.25">
      <c r="B16" s="249"/>
      <c r="C16" s="250"/>
      <c r="D16" s="250"/>
      <c r="E16" s="250"/>
      <c r="F16" s="250"/>
      <c r="G16" s="250"/>
      <c r="H16" s="250"/>
      <c r="I16" s="251"/>
    </row>
    <row r="17" spans="2:9" ht="11.1" customHeight="1" x14ac:dyDescent="0.25">
      <c r="B17" s="249"/>
      <c r="C17" s="250"/>
      <c r="D17" s="250"/>
      <c r="E17" s="250"/>
      <c r="F17" s="250"/>
      <c r="G17" s="250"/>
      <c r="H17" s="250"/>
      <c r="I17" s="251"/>
    </row>
    <row r="18" spans="2:9" ht="11.1" customHeight="1" x14ac:dyDescent="0.25">
      <c r="B18" s="249"/>
      <c r="C18" s="250"/>
      <c r="D18" s="250"/>
      <c r="E18" s="250"/>
      <c r="F18" s="250"/>
      <c r="G18" s="250"/>
      <c r="H18" s="250"/>
      <c r="I18" s="251"/>
    </row>
    <row r="19" spans="2:9" ht="11.1" customHeight="1" x14ac:dyDescent="0.25">
      <c r="B19" s="249"/>
      <c r="C19" s="250"/>
      <c r="D19" s="250"/>
      <c r="E19" s="250"/>
      <c r="F19" s="250"/>
      <c r="G19" s="250"/>
      <c r="H19" s="250"/>
      <c r="I19" s="251"/>
    </row>
    <row r="20" spans="2:9" ht="11.1" customHeight="1" x14ac:dyDescent="0.25">
      <c r="B20" s="249"/>
      <c r="C20" s="250"/>
      <c r="D20" s="250"/>
      <c r="E20" s="250"/>
      <c r="F20" s="250"/>
      <c r="G20" s="250"/>
      <c r="H20" s="250"/>
      <c r="I20" s="251"/>
    </row>
    <row r="21" spans="2:9" ht="11.1" customHeight="1" x14ac:dyDescent="0.25">
      <c r="B21" s="249"/>
      <c r="C21" s="250"/>
      <c r="D21" s="250"/>
      <c r="E21" s="250"/>
      <c r="F21" s="250"/>
      <c r="G21" s="250"/>
      <c r="H21" s="250"/>
      <c r="I21" s="251"/>
    </row>
    <row r="22" spans="2:9" ht="11.1" customHeight="1" x14ac:dyDescent="0.25">
      <c r="B22" s="249"/>
      <c r="C22" s="250"/>
      <c r="D22" s="250"/>
      <c r="E22" s="250"/>
      <c r="F22" s="250"/>
      <c r="G22" s="250"/>
      <c r="H22" s="250"/>
      <c r="I22" s="251"/>
    </row>
    <row r="23" spans="2:9" ht="11.1" customHeight="1" thickBot="1" x14ac:dyDescent="0.3">
      <c r="B23" s="252"/>
      <c r="C23" s="253"/>
      <c r="D23" s="253"/>
      <c r="E23" s="253"/>
      <c r="F23" s="253"/>
      <c r="G23" s="253"/>
      <c r="H23" s="253"/>
      <c r="I23" s="254"/>
    </row>
  </sheetData>
  <mergeCells count="1">
    <mergeCell ref="B15:I23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8AB3-8608-4BA1-A08A-DC53F310BB39}">
  <sheetPr codeName="工作表1"/>
  <dimension ref="A1:I83"/>
  <sheetViews>
    <sheetView showGridLines="0" view="pageBreakPreview" zoomScale="120" zoomScaleNormal="100" zoomScaleSheetLayoutView="120" workbookViewId="0">
      <selection sqref="A1:I1"/>
    </sheetView>
  </sheetViews>
  <sheetFormatPr defaultColWidth="9" defaultRowHeight="11.1" customHeight="1" x14ac:dyDescent="0.25"/>
  <cols>
    <col min="1" max="1" width="1.25" style="18" customWidth="1"/>
    <col min="2" max="2" width="14.5" style="44" customWidth="1"/>
    <col min="3" max="3" width="3.375" style="48" bestFit="1" customWidth="1"/>
    <col min="4" max="4" width="11.125" style="46" customWidth="1"/>
    <col min="5" max="9" width="11.125" style="47" customWidth="1"/>
    <col min="10" max="16384" width="9" style="46"/>
  </cols>
  <sheetData>
    <row r="1" spans="1:9" s="17" customFormat="1" ht="22.15" customHeight="1" x14ac:dyDescent="0.25">
      <c r="A1" s="255" t="s">
        <v>257</v>
      </c>
      <c r="B1" s="256"/>
      <c r="C1" s="256"/>
      <c r="D1" s="256"/>
      <c r="E1" s="256"/>
      <c r="F1" s="256"/>
      <c r="G1" s="256"/>
      <c r="H1" s="256"/>
      <c r="I1" s="256"/>
    </row>
    <row r="2" spans="1:9" s="17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</row>
    <row r="3" spans="1:9" s="19" customFormat="1" ht="13.5" customHeight="1" x14ac:dyDescent="0.25">
      <c r="A3" s="257" t="s">
        <v>208</v>
      </c>
      <c r="B3" s="257"/>
      <c r="C3" s="257"/>
      <c r="D3" s="257"/>
      <c r="E3" s="257"/>
      <c r="F3" s="257"/>
      <c r="G3" s="257"/>
      <c r="H3" s="257"/>
      <c r="I3" s="257"/>
    </row>
    <row r="4" spans="1:9" s="122" customFormat="1" ht="13.5" x14ac:dyDescent="0.25">
      <c r="A4" s="24"/>
      <c r="B4" s="24"/>
      <c r="C4" s="24"/>
      <c r="D4" s="24"/>
      <c r="E4" s="120"/>
      <c r="F4" s="120"/>
      <c r="G4" s="120"/>
      <c r="H4" s="120"/>
      <c r="I4" s="27" t="s">
        <v>119</v>
      </c>
    </row>
    <row r="5" spans="1:9" s="19" customFormat="1" ht="7.5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  <c r="I5" s="51"/>
    </row>
    <row r="6" spans="1:9" s="19" customFormat="1" ht="18" customHeight="1" x14ac:dyDescent="0.25">
      <c r="A6" s="260"/>
      <c r="B6" s="260"/>
      <c r="C6" s="261"/>
      <c r="D6" s="261"/>
      <c r="E6" s="265"/>
      <c r="F6" s="267" t="s">
        <v>82</v>
      </c>
      <c r="G6" s="267" t="s">
        <v>83</v>
      </c>
      <c r="H6" s="267" t="s">
        <v>84</v>
      </c>
      <c r="I6" s="269" t="s">
        <v>85</v>
      </c>
    </row>
    <row r="7" spans="1:9" s="19" customFormat="1" ht="26.25" customHeight="1" x14ac:dyDescent="0.25">
      <c r="A7" s="262"/>
      <c r="B7" s="262"/>
      <c r="C7" s="263"/>
      <c r="D7" s="263"/>
      <c r="E7" s="266"/>
      <c r="F7" s="268"/>
      <c r="G7" s="268"/>
      <c r="H7" s="268"/>
      <c r="I7" s="266"/>
    </row>
    <row r="8" spans="1:9" s="19" customFormat="1" ht="4.5" customHeight="1" x14ac:dyDescent="0.25">
      <c r="A8" s="30"/>
      <c r="B8" s="31"/>
      <c r="C8" s="32"/>
      <c r="D8" s="77"/>
      <c r="E8" s="80"/>
      <c r="F8" s="81"/>
      <c r="G8" s="81"/>
      <c r="H8" s="81"/>
      <c r="I8" s="81"/>
    </row>
    <row r="9" spans="1:9" s="19" customFormat="1" ht="12.6" customHeight="1" x14ac:dyDescent="0.25">
      <c r="A9" s="33" t="s">
        <v>22</v>
      </c>
      <c r="B9" s="34"/>
      <c r="C9" s="35"/>
      <c r="D9" s="168">
        <v>34236.000000002343</v>
      </c>
      <c r="E9" s="182">
        <v>100</v>
      </c>
      <c r="F9" s="183">
        <v>59.927939430748751</v>
      </c>
      <c r="G9" s="183">
        <v>5.583240933967252</v>
      </c>
      <c r="H9" s="183">
        <v>1.4183144923799531</v>
      </c>
      <c r="I9" s="183">
        <v>33.070505142897694</v>
      </c>
    </row>
    <row r="10" spans="1:9" s="19" customFormat="1" ht="12.6" customHeight="1" x14ac:dyDescent="0.25">
      <c r="A10" s="33" t="s">
        <v>23</v>
      </c>
      <c r="B10" s="34"/>
      <c r="C10" s="35" t="s">
        <v>92</v>
      </c>
      <c r="D10" s="169"/>
      <c r="E10" s="184"/>
      <c r="F10" s="185"/>
      <c r="G10" s="185"/>
      <c r="H10" s="185"/>
      <c r="I10" s="185"/>
    </row>
    <row r="11" spans="1:9" s="19" customFormat="1" ht="12.6" customHeight="1" x14ac:dyDescent="0.25">
      <c r="A11" s="37"/>
      <c r="B11" s="38" t="s">
        <v>24</v>
      </c>
      <c r="C11" s="35"/>
      <c r="D11" s="169">
        <v>5980.4970728673106</v>
      </c>
      <c r="E11" s="184">
        <v>100</v>
      </c>
      <c r="F11" s="185">
        <v>61.462285445827924</v>
      </c>
      <c r="G11" s="185">
        <v>4.6971766211247914</v>
      </c>
      <c r="H11" s="185">
        <v>1.3044190939258589</v>
      </c>
      <c r="I11" s="185">
        <v>32.536118839121208</v>
      </c>
    </row>
    <row r="12" spans="1:9" s="19" customFormat="1" ht="12.6" customHeight="1" x14ac:dyDescent="0.25">
      <c r="A12" s="37"/>
      <c r="B12" s="38" t="s">
        <v>25</v>
      </c>
      <c r="C12" s="35"/>
      <c r="D12" s="169">
        <v>3636.2279243168505</v>
      </c>
      <c r="E12" s="184">
        <v>100</v>
      </c>
      <c r="F12" s="185">
        <v>55.632669119549654</v>
      </c>
      <c r="G12" s="185">
        <v>5.5217636109631938</v>
      </c>
      <c r="H12" s="185">
        <v>2.0640172771167413</v>
      </c>
      <c r="I12" s="185">
        <v>36.781549992370344</v>
      </c>
    </row>
    <row r="13" spans="1:9" s="19" customFormat="1" ht="12.6" customHeight="1" x14ac:dyDescent="0.25">
      <c r="A13" s="37"/>
      <c r="B13" s="38" t="s">
        <v>26</v>
      </c>
      <c r="C13" s="35"/>
      <c r="D13" s="169">
        <v>3357.9804981999582</v>
      </c>
      <c r="E13" s="184">
        <v>100</v>
      </c>
      <c r="F13" s="185">
        <v>60.924789419271711</v>
      </c>
      <c r="G13" s="185">
        <v>6.5552806606699772</v>
      </c>
      <c r="H13" s="185">
        <v>1.0697419000775217</v>
      </c>
      <c r="I13" s="185">
        <v>31.450188019981191</v>
      </c>
    </row>
    <row r="14" spans="1:9" s="19" customFormat="1" ht="12.6" customHeight="1" x14ac:dyDescent="0.25">
      <c r="A14" s="37"/>
      <c r="B14" s="38" t="s">
        <v>27</v>
      </c>
      <c r="C14" s="35"/>
      <c r="D14" s="169">
        <v>4082.867595232331</v>
      </c>
      <c r="E14" s="184">
        <v>100</v>
      </c>
      <c r="F14" s="185">
        <v>60.243633162801686</v>
      </c>
      <c r="G14" s="185">
        <v>6.8557718377199075</v>
      </c>
      <c r="H14" s="185">
        <v>1.4384674880423158</v>
      </c>
      <c r="I14" s="185">
        <v>31.462127511436236</v>
      </c>
    </row>
    <row r="15" spans="1:9" s="19" customFormat="1" ht="12.6" customHeight="1" x14ac:dyDescent="0.25">
      <c r="A15" s="37"/>
      <c r="B15" s="38" t="s">
        <v>28</v>
      </c>
      <c r="C15" s="35"/>
      <c r="D15" s="169">
        <v>2740.293166317872</v>
      </c>
      <c r="E15" s="184">
        <v>100</v>
      </c>
      <c r="F15" s="185">
        <v>61.344748056567902</v>
      </c>
      <c r="G15" s="185">
        <v>5.2887875885689191</v>
      </c>
      <c r="H15" s="185">
        <v>1.6154448113062665</v>
      </c>
      <c r="I15" s="185">
        <v>31.75101954355711</v>
      </c>
    </row>
    <row r="16" spans="1:9" s="19" customFormat="1" ht="12.6" customHeight="1" x14ac:dyDescent="0.25">
      <c r="A16" s="37"/>
      <c r="B16" s="38" t="s">
        <v>29</v>
      </c>
      <c r="C16" s="35"/>
      <c r="D16" s="169">
        <v>4037.8334641233828</v>
      </c>
      <c r="E16" s="184">
        <v>100</v>
      </c>
      <c r="F16" s="185">
        <v>59.684444825447045</v>
      </c>
      <c r="G16" s="185">
        <v>5.7335925967470089</v>
      </c>
      <c r="H16" s="185">
        <v>1.619396439465467</v>
      </c>
      <c r="I16" s="185">
        <v>32.962566138340406</v>
      </c>
    </row>
    <row r="17" spans="1:9" s="19" customFormat="1" ht="12.6" customHeight="1" x14ac:dyDescent="0.25">
      <c r="A17" s="37"/>
      <c r="B17" s="38" t="s">
        <v>30</v>
      </c>
      <c r="C17" s="35"/>
      <c r="D17" s="169">
        <v>662.92572577318674</v>
      </c>
      <c r="E17" s="184">
        <v>100</v>
      </c>
      <c r="F17" s="185">
        <v>58.174593902420533</v>
      </c>
      <c r="G17" s="185">
        <v>4.1556636202757558</v>
      </c>
      <c r="H17" s="185">
        <v>1.8089749677250238</v>
      </c>
      <c r="I17" s="185">
        <v>35.860767509579212</v>
      </c>
    </row>
    <row r="18" spans="1:9" s="19" customFormat="1" ht="12.6" customHeight="1" x14ac:dyDescent="0.25">
      <c r="A18" s="37"/>
      <c r="B18" s="38" t="s">
        <v>31</v>
      </c>
      <c r="C18" s="35"/>
      <c r="D18" s="169">
        <v>837.20173510160305</v>
      </c>
      <c r="E18" s="184">
        <v>100</v>
      </c>
      <c r="F18" s="185">
        <v>60.549959904352598</v>
      </c>
      <c r="G18" s="185">
        <v>6.8757794236745822</v>
      </c>
      <c r="H18" s="185">
        <v>1.7774986077944597</v>
      </c>
      <c r="I18" s="185">
        <v>30.796762064177923</v>
      </c>
    </row>
    <row r="19" spans="1:9" s="19" customFormat="1" ht="12.6" customHeight="1" x14ac:dyDescent="0.25">
      <c r="A19" s="37"/>
      <c r="B19" s="38" t="s">
        <v>32</v>
      </c>
      <c r="C19" s="35"/>
      <c r="D19" s="169">
        <v>784.81580450818956</v>
      </c>
      <c r="E19" s="184">
        <v>100</v>
      </c>
      <c r="F19" s="185">
        <v>58.718022390673767</v>
      </c>
      <c r="G19" s="185">
        <v>4.5704660196159121</v>
      </c>
      <c r="H19" s="185">
        <v>1.3630973155644934</v>
      </c>
      <c r="I19" s="185">
        <v>35.34841427414603</v>
      </c>
    </row>
    <row r="20" spans="1:9" s="19" customFormat="1" ht="12.6" customHeight="1" x14ac:dyDescent="0.25">
      <c r="A20" s="37"/>
      <c r="B20" s="38" t="s">
        <v>33</v>
      </c>
      <c r="C20" s="35"/>
      <c r="D20" s="169">
        <v>1775.9602684124147</v>
      </c>
      <c r="E20" s="184">
        <v>100</v>
      </c>
      <c r="F20" s="185">
        <v>62.361133123692682</v>
      </c>
      <c r="G20" s="185">
        <v>4.6417711460593978</v>
      </c>
      <c r="H20" s="185">
        <v>1.2072276089778675</v>
      </c>
      <c r="I20" s="185">
        <v>31.789868121270235</v>
      </c>
    </row>
    <row r="21" spans="1:9" s="19" customFormat="1" ht="12.6" customHeight="1" x14ac:dyDescent="0.25">
      <c r="A21" s="37"/>
      <c r="B21" s="38" t="s">
        <v>34</v>
      </c>
      <c r="C21" s="35"/>
      <c r="D21" s="169">
        <v>705.41404513386442</v>
      </c>
      <c r="E21" s="184">
        <v>100</v>
      </c>
      <c r="F21" s="185">
        <v>58.882798119806665</v>
      </c>
      <c r="G21" s="185">
        <v>4.0704706678782134</v>
      </c>
      <c r="H21" s="185">
        <v>1.6340403766992815</v>
      </c>
      <c r="I21" s="185">
        <v>35.412690835616196</v>
      </c>
    </row>
    <row r="22" spans="1:9" s="19" customFormat="1" ht="12.6" customHeight="1" x14ac:dyDescent="0.25">
      <c r="A22" s="37"/>
      <c r="B22" s="38" t="s">
        <v>35</v>
      </c>
      <c r="C22" s="35"/>
      <c r="D22" s="169">
        <v>978.05836046228183</v>
      </c>
      <c r="E22" s="184">
        <v>100</v>
      </c>
      <c r="F22" s="185">
        <v>56.820244969298756</v>
      </c>
      <c r="G22" s="185">
        <v>5.949991208123647</v>
      </c>
      <c r="H22" s="185">
        <v>0.84760665172015048</v>
      </c>
      <c r="I22" s="185">
        <v>36.382157170857575</v>
      </c>
    </row>
    <row r="23" spans="1:9" s="19" customFormat="1" ht="12.6" customHeight="1" x14ac:dyDescent="0.25">
      <c r="A23" s="37"/>
      <c r="B23" s="38" t="s">
        <v>36</v>
      </c>
      <c r="C23" s="35"/>
      <c r="D23" s="169">
        <v>728.88267633203054</v>
      </c>
      <c r="E23" s="184">
        <v>100</v>
      </c>
      <c r="F23" s="185">
        <v>60.198638428597882</v>
      </c>
      <c r="G23" s="185">
        <v>4.442511978013485</v>
      </c>
      <c r="H23" s="185">
        <v>1.3015534816470333</v>
      </c>
      <c r="I23" s="185">
        <v>34.057296111741827</v>
      </c>
    </row>
    <row r="24" spans="1:9" s="19" customFormat="1" ht="12.6" customHeight="1" x14ac:dyDescent="0.25">
      <c r="A24" s="37"/>
      <c r="B24" s="38" t="s">
        <v>37</v>
      </c>
      <c r="C24" s="35"/>
      <c r="D24" s="169">
        <v>1179.6142455826673</v>
      </c>
      <c r="E24" s="184">
        <v>100</v>
      </c>
      <c r="F24" s="185">
        <v>59.689900378391251</v>
      </c>
      <c r="G24" s="185">
        <v>5.470574196091702</v>
      </c>
      <c r="H24" s="185">
        <v>0.50457300070940403</v>
      </c>
      <c r="I24" s="185">
        <v>34.334952424807796</v>
      </c>
    </row>
    <row r="25" spans="1:9" s="19" customFormat="1" ht="12.6" customHeight="1" x14ac:dyDescent="0.25">
      <c r="A25" s="37"/>
      <c r="B25" s="38" t="s">
        <v>38</v>
      </c>
      <c r="C25" s="35"/>
      <c r="D25" s="169">
        <v>310.98593414410072</v>
      </c>
      <c r="E25" s="184">
        <v>100</v>
      </c>
      <c r="F25" s="185">
        <v>62.120088607929297</v>
      </c>
      <c r="G25" s="185">
        <v>4.756488963383509</v>
      </c>
      <c r="H25" s="185">
        <v>0.41708785269528387</v>
      </c>
      <c r="I25" s="185">
        <v>32.706334575991562</v>
      </c>
    </row>
    <row r="26" spans="1:9" s="19" customFormat="1" ht="12.6" customHeight="1" x14ac:dyDescent="0.25">
      <c r="A26" s="37"/>
      <c r="B26" s="38" t="s">
        <v>39</v>
      </c>
      <c r="C26" s="35"/>
      <c r="D26" s="169">
        <v>466.47308886056038</v>
      </c>
      <c r="E26" s="184">
        <v>100</v>
      </c>
      <c r="F26" s="185">
        <v>58.534169576791911</v>
      </c>
      <c r="G26" s="185">
        <v>6.3064282482159761</v>
      </c>
      <c r="H26" s="185">
        <v>1.2473583109937951</v>
      </c>
      <c r="I26" s="185">
        <v>33.91204386399837</v>
      </c>
    </row>
    <row r="27" spans="1:9" s="19" customFormat="1" ht="12.6" customHeight="1" x14ac:dyDescent="0.25">
      <c r="A27" s="37"/>
      <c r="B27" s="38" t="s">
        <v>40</v>
      </c>
      <c r="C27" s="35"/>
      <c r="D27" s="169">
        <v>162.01858172625484</v>
      </c>
      <c r="E27" s="184">
        <v>100</v>
      </c>
      <c r="F27" s="185">
        <v>58.48097259438282</v>
      </c>
      <c r="G27" s="185">
        <v>3.016763163218831</v>
      </c>
      <c r="H27" s="185">
        <v>2.1478797799197022</v>
      </c>
      <c r="I27" s="185">
        <v>36.354384462477249</v>
      </c>
    </row>
    <row r="28" spans="1:9" s="19" customFormat="1" ht="12.6" customHeight="1" x14ac:dyDescent="0.25">
      <c r="A28" s="37"/>
      <c r="B28" s="38" t="s">
        <v>41</v>
      </c>
      <c r="C28" s="35"/>
      <c r="D28" s="169">
        <v>543.40044542669193</v>
      </c>
      <c r="E28" s="184">
        <v>100</v>
      </c>
      <c r="F28" s="185">
        <v>58.533641881405217</v>
      </c>
      <c r="G28" s="185">
        <v>6.2676542938013684</v>
      </c>
      <c r="H28" s="185">
        <v>0.77482865477770702</v>
      </c>
      <c r="I28" s="185">
        <v>34.423875170015435</v>
      </c>
    </row>
    <row r="29" spans="1:9" s="19" customFormat="1" ht="12.6" customHeight="1" x14ac:dyDescent="0.25">
      <c r="A29" s="37"/>
      <c r="B29" s="38" t="s">
        <v>42</v>
      </c>
      <c r="C29" s="35"/>
      <c r="D29" s="169">
        <v>641.70564585172906</v>
      </c>
      <c r="E29" s="184">
        <v>100</v>
      </c>
      <c r="F29" s="185">
        <v>61.582309781374967</v>
      </c>
      <c r="G29" s="185">
        <v>7.8399860402451624</v>
      </c>
      <c r="H29" s="185">
        <v>1.3051242955867342</v>
      </c>
      <c r="I29" s="185">
        <v>29.272579882792886</v>
      </c>
    </row>
    <row r="30" spans="1:9" s="19" customFormat="1" ht="12.6" customHeight="1" x14ac:dyDescent="0.25">
      <c r="A30" s="37"/>
      <c r="B30" s="38" t="s">
        <v>43</v>
      </c>
      <c r="C30" s="35"/>
      <c r="D30" s="169">
        <v>382.26534175006776</v>
      </c>
      <c r="E30" s="184">
        <v>100</v>
      </c>
      <c r="F30" s="185">
        <v>57.851462301792694</v>
      </c>
      <c r="G30" s="185">
        <v>4.8346122975032362</v>
      </c>
      <c r="H30" s="185">
        <v>2.2452675740260748</v>
      </c>
      <c r="I30" s="185">
        <v>35.068657826678539</v>
      </c>
    </row>
    <row r="31" spans="1:9" s="19" customFormat="1" ht="12.6" customHeight="1" x14ac:dyDescent="0.25">
      <c r="A31" s="37"/>
      <c r="B31" s="38" t="s">
        <v>44</v>
      </c>
      <c r="C31" s="35"/>
      <c r="D31" s="169">
        <v>219.73693340495529</v>
      </c>
      <c r="E31" s="184">
        <v>100</v>
      </c>
      <c r="F31" s="185">
        <v>61.319171220610791</v>
      </c>
      <c r="G31" s="185">
        <v>6.2516133656750092</v>
      </c>
      <c r="H31" s="185">
        <v>0.98817448912386951</v>
      </c>
      <c r="I31" s="185">
        <v>31.441040924590045</v>
      </c>
    </row>
    <row r="32" spans="1:9" s="19" customFormat="1" ht="12.6" customHeight="1" x14ac:dyDescent="0.25">
      <c r="A32" s="37"/>
      <c r="B32" s="38" t="s">
        <v>45</v>
      </c>
      <c r="C32" s="35"/>
      <c r="D32" s="169">
        <v>20.84144647162276</v>
      </c>
      <c r="E32" s="184">
        <v>100</v>
      </c>
      <c r="F32" s="185">
        <v>80.268027325423645</v>
      </c>
      <c r="G32" s="185">
        <v>1.8163470120434964</v>
      </c>
      <c r="H32" s="185">
        <v>0</v>
      </c>
      <c r="I32" s="185">
        <v>17.915625662532879</v>
      </c>
    </row>
    <row r="33" spans="1:9" s="19" customFormat="1" ht="12.6" customHeight="1" x14ac:dyDescent="0.25">
      <c r="A33" s="37" t="s">
        <v>232</v>
      </c>
      <c r="B33" s="38"/>
      <c r="C33" s="36" t="s">
        <v>19</v>
      </c>
      <c r="D33" s="157"/>
      <c r="E33" s="158"/>
      <c r="F33" s="159"/>
      <c r="G33" s="159"/>
      <c r="H33" s="62"/>
      <c r="I33" s="62"/>
    </row>
    <row r="34" spans="1:9" s="19" customFormat="1" ht="12.6" customHeight="1" x14ac:dyDescent="0.25">
      <c r="A34" s="37"/>
      <c r="B34" s="38" t="s">
        <v>233</v>
      </c>
      <c r="C34" s="35"/>
      <c r="D34" s="186">
        <v>23835.699721057747</v>
      </c>
      <c r="E34" s="61">
        <v>100</v>
      </c>
      <c r="F34" s="62">
        <v>59.973802941200134</v>
      </c>
      <c r="G34" s="62">
        <v>5.6980779878762036</v>
      </c>
      <c r="H34" s="62">
        <v>1.4993141587952223</v>
      </c>
      <c r="I34" s="62">
        <v>32.828804912128348</v>
      </c>
    </row>
    <row r="35" spans="1:9" s="19" customFormat="1" ht="12.6" customHeight="1" x14ac:dyDescent="0.25">
      <c r="A35" s="37"/>
      <c r="B35" s="38" t="s">
        <v>234</v>
      </c>
      <c r="C35" s="35"/>
      <c r="D35" s="186">
        <v>10400.300278941946</v>
      </c>
      <c r="E35" s="61">
        <v>100</v>
      </c>
      <c r="F35" s="62">
        <v>59.822828151859852</v>
      </c>
      <c r="G35" s="62">
        <v>5.3200541547015883</v>
      </c>
      <c r="H35" s="62">
        <v>1.2326771863027792</v>
      </c>
      <c r="I35" s="62">
        <v>33.624440507138168</v>
      </c>
    </row>
    <row r="36" spans="1:9" s="19" customFormat="1" ht="12.6" customHeight="1" x14ac:dyDescent="0.25">
      <c r="A36" s="33" t="s">
        <v>46</v>
      </c>
      <c r="B36" s="34"/>
      <c r="C36" s="35" t="s">
        <v>92</v>
      </c>
      <c r="D36" s="169"/>
      <c r="E36" s="184"/>
      <c r="F36" s="185"/>
      <c r="G36" s="185"/>
      <c r="H36" s="185"/>
      <c r="I36" s="185"/>
    </row>
    <row r="37" spans="1:9" s="19" customFormat="1" ht="12.6" customHeight="1" x14ac:dyDescent="0.25">
      <c r="A37" s="37"/>
      <c r="B37" s="38" t="s">
        <v>47</v>
      </c>
      <c r="C37" s="35"/>
      <c r="D37" s="169">
        <v>16749.694852045657</v>
      </c>
      <c r="E37" s="184">
        <v>100</v>
      </c>
      <c r="F37" s="185">
        <v>66.639841802679044</v>
      </c>
      <c r="G37" s="185">
        <v>5.7460685457828653</v>
      </c>
      <c r="H37" s="185">
        <v>1.6170448524133123</v>
      </c>
      <c r="I37" s="185">
        <v>25.997044799124566</v>
      </c>
    </row>
    <row r="38" spans="1:9" s="19" customFormat="1" ht="12.6" customHeight="1" x14ac:dyDescent="0.25">
      <c r="A38" s="37"/>
      <c r="B38" s="38" t="s">
        <v>48</v>
      </c>
      <c r="C38" s="35"/>
      <c r="D38" s="169">
        <v>17486.305147954343</v>
      </c>
      <c r="E38" s="184">
        <v>100</v>
      </c>
      <c r="F38" s="185">
        <v>53.498775827847844</v>
      </c>
      <c r="G38" s="185">
        <v>5.4272724324278849</v>
      </c>
      <c r="H38" s="185">
        <v>1.2279556452576923</v>
      </c>
      <c r="I38" s="185">
        <v>39.845996094466145</v>
      </c>
    </row>
    <row r="39" spans="1:9" s="19" customFormat="1" ht="12.6" customHeight="1" x14ac:dyDescent="0.25">
      <c r="A39" s="33" t="s">
        <v>49</v>
      </c>
      <c r="B39" s="34"/>
      <c r="C39" s="35" t="s">
        <v>92</v>
      </c>
      <c r="D39" s="169"/>
      <c r="E39" s="184"/>
      <c r="F39" s="185"/>
      <c r="G39" s="185"/>
      <c r="H39" s="185"/>
      <c r="I39" s="185"/>
    </row>
    <row r="40" spans="1:9" s="19" customFormat="1" ht="12.6" customHeight="1" x14ac:dyDescent="0.25">
      <c r="A40" s="33"/>
      <c r="B40" s="38" t="s">
        <v>107</v>
      </c>
      <c r="C40" s="35"/>
      <c r="D40" s="169">
        <v>990.8974962064251</v>
      </c>
      <c r="E40" s="184">
        <v>100</v>
      </c>
      <c r="F40" s="185">
        <v>3.6774639296490972</v>
      </c>
      <c r="G40" s="185">
        <v>87.19844609582357</v>
      </c>
      <c r="H40" s="185">
        <v>6.6825467046833902</v>
      </c>
      <c r="I40" s="185">
        <v>2.4415432698439892</v>
      </c>
    </row>
    <row r="41" spans="1:9" s="19" customFormat="1" ht="12.6" customHeight="1" x14ac:dyDescent="0.25">
      <c r="A41" s="37"/>
      <c r="B41" s="38" t="s">
        <v>108</v>
      </c>
      <c r="C41" s="35"/>
      <c r="D41" s="169">
        <v>687.19908966432342</v>
      </c>
      <c r="E41" s="184">
        <v>100</v>
      </c>
      <c r="F41" s="185">
        <v>19.928688039051249</v>
      </c>
      <c r="G41" s="185">
        <v>58.66001492772277</v>
      </c>
      <c r="H41" s="185">
        <v>12.216044275605341</v>
      </c>
      <c r="I41" s="185">
        <v>9.1952527576208798</v>
      </c>
    </row>
    <row r="42" spans="1:9" s="19" customFormat="1" ht="12.6" customHeight="1" x14ac:dyDescent="0.25">
      <c r="A42" s="37"/>
      <c r="B42" s="38" t="s">
        <v>109</v>
      </c>
      <c r="C42" s="35"/>
      <c r="D42" s="169">
        <v>4595.9785250585546</v>
      </c>
      <c r="E42" s="184">
        <v>100</v>
      </c>
      <c r="F42" s="185">
        <v>70.57511731511191</v>
      </c>
      <c r="G42" s="185">
        <v>13.389983367409934</v>
      </c>
      <c r="H42" s="185">
        <v>6.742621756613504</v>
      </c>
      <c r="I42" s="185">
        <v>9.2922775608651911</v>
      </c>
    </row>
    <row r="43" spans="1:9" s="19" customFormat="1" ht="12.6" customHeight="1" x14ac:dyDescent="0.25">
      <c r="A43" s="37"/>
      <c r="B43" s="38" t="s">
        <v>110</v>
      </c>
      <c r="C43" s="35"/>
      <c r="D43" s="169">
        <v>5316.0289939355107</v>
      </c>
      <c r="E43" s="184">
        <v>100</v>
      </c>
      <c r="F43" s="185">
        <v>89.146398379012908</v>
      </c>
      <c r="G43" s="185">
        <v>3.7001856431880836E-2</v>
      </c>
      <c r="H43" s="185">
        <v>0.13329489327905678</v>
      </c>
      <c r="I43" s="185">
        <v>10.683304871276134</v>
      </c>
    </row>
    <row r="44" spans="1:9" s="19" customFormat="1" ht="12.6" customHeight="1" x14ac:dyDescent="0.25">
      <c r="A44" s="37"/>
      <c r="B44" s="38" t="s">
        <v>111</v>
      </c>
      <c r="C44" s="35"/>
      <c r="D44" s="169">
        <v>6474.5930995165245</v>
      </c>
      <c r="E44" s="184">
        <v>100</v>
      </c>
      <c r="F44" s="185">
        <v>85.348829088252231</v>
      </c>
      <c r="G44" s="185">
        <v>0.17160994267535887</v>
      </c>
      <c r="H44" s="185">
        <v>0.15311009988836324</v>
      </c>
      <c r="I44" s="185">
        <v>14.326450869184034</v>
      </c>
    </row>
    <row r="45" spans="1:9" s="19" customFormat="1" ht="12.6" customHeight="1" x14ac:dyDescent="0.25">
      <c r="A45" s="37"/>
      <c r="B45" s="38" t="s">
        <v>112</v>
      </c>
      <c r="C45" s="35"/>
      <c r="D45" s="169">
        <v>5835.4025813818816</v>
      </c>
      <c r="E45" s="184">
        <v>100</v>
      </c>
      <c r="F45" s="185">
        <v>72.452075203144943</v>
      </c>
      <c r="G45" s="185">
        <v>0.10037027101677831</v>
      </c>
      <c r="H45" s="185">
        <v>6.1673902714294807E-2</v>
      </c>
      <c r="I45" s="185">
        <v>27.385880623123089</v>
      </c>
    </row>
    <row r="46" spans="1:9" s="19" customFormat="1" ht="12.6" customHeight="1" x14ac:dyDescent="0.25">
      <c r="A46" s="37"/>
      <c r="B46" s="38" t="s">
        <v>113</v>
      </c>
      <c r="C46" s="35"/>
      <c r="D46" s="169">
        <v>2922.424300885169</v>
      </c>
      <c r="E46" s="184">
        <v>100</v>
      </c>
      <c r="F46" s="185">
        <v>48.825084798008341</v>
      </c>
      <c r="G46" s="185">
        <v>7.1725264806125719E-2</v>
      </c>
      <c r="H46" s="185">
        <v>0.15930563121557498</v>
      </c>
      <c r="I46" s="185">
        <v>50.943884305970244</v>
      </c>
    </row>
    <row r="47" spans="1:9" s="19" customFormat="1" ht="12.6" customHeight="1" x14ac:dyDescent="0.25">
      <c r="A47" s="37"/>
      <c r="B47" s="38" t="s">
        <v>114</v>
      </c>
      <c r="C47" s="35"/>
      <c r="D47" s="169">
        <v>7413.4759133515799</v>
      </c>
      <c r="E47" s="184">
        <v>100</v>
      </c>
      <c r="F47" s="185">
        <v>15.918824953388343</v>
      </c>
      <c r="G47" s="185">
        <v>0.10640214682567518</v>
      </c>
      <c r="H47" s="185">
        <v>3.5774108317278021E-3</v>
      </c>
      <c r="I47" s="185">
        <v>83.971195488954265</v>
      </c>
    </row>
    <row r="48" spans="1:9" s="19" customFormat="1" ht="5.25" customHeight="1" x14ac:dyDescent="0.25">
      <c r="A48" s="39"/>
      <c r="B48" s="40"/>
      <c r="C48" s="41"/>
      <c r="D48" s="170"/>
      <c r="E48" s="187"/>
      <c r="F48" s="188"/>
      <c r="G48" s="188"/>
      <c r="H48" s="188"/>
      <c r="I48" s="188"/>
    </row>
    <row r="49" spans="1:9" s="19" customFormat="1" ht="15" customHeight="1" x14ac:dyDescent="0.25">
      <c r="A49" s="33" t="s">
        <v>50</v>
      </c>
      <c r="B49" s="34"/>
      <c r="C49" s="35" t="s">
        <v>92</v>
      </c>
      <c r="D49" s="169"/>
      <c r="E49" s="184"/>
      <c r="F49" s="185"/>
      <c r="G49" s="185"/>
      <c r="H49" s="185"/>
      <c r="I49" s="185"/>
    </row>
    <row r="50" spans="1:9" s="19" customFormat="1" ht="15" customHeight="1" x14ac:dyDescent="0.25">
      <c r="A50" s="37"/>
      <c r="B50" s="38" t="s">
        <v>3</v>
      </c>
      <c r="C50" s="35"/>
      <c r="D50" s="169">
        <v>3395.0961114952684</v>
      </c>
      <c r="E50" s="184">
        <v>100</v>
      </c>
      <c r="F50" s="185">
        <v>14.765533152626514</v>
      </c>
      <c r="G50" s="185">
        <v>0.14374708621880994</v>
      </c>
      <c r="H50" s="185">
        <v>0</v>
      </c>
      <c r="I50" s="185">
        <v>85.090719761154617</v>
      </c>
    </row>
    <row r="51" spans="1:9" s="19" customFormat="1" ht="15" customHeight="1" x14ac:dyDescent="0.25">
      <c r="A51" s="37"/>
      <c r="B51" s="38" t="s">
        <v>115</v>
      </c>
      <c r="C51" s="35"/>
      <c r="D51" s="169">
        <v>3014.9642279020204</v>
      </c>
      <c r="E51" s="184">
        <v>100</v>
      </c>
      <c r="F51" s="185">
        <v>43.066384583676971</v>
      </c>
      <c r="G51" s="185">
        <v>4.4392615567706795</v>
      </c>
      <c r="H51" s="185">
        <v>4.4843179800795323E-2</v>
      </c>
      <c r="I51" s="185">
        <v>52.449510679751853</v>
      </c>
    </row>
    <row r="52" spans="1:9" s="19" customFormat="1" ht="15" customHeight="1" x14ac:dyDescent="0.25">
      <c r="A52" s="37"/>
      <c r="B52" s="38" t="s">
        <v>116</v>
      </c>
      <c r="C52" s="35"/>
      <c r="D52" s="169">
        <v>9553.0689204173286</v>
      </c>
      <c r="E52" s="184">
        <v>100</v>
      </c>
      <c r="F52" s="185">
        <v>56.926658321778788</v>
      </c>
      <c r="G52" s="185">
        <v>8.7263939043057022</v>
      </c>
      <c r="H52" s="185">
        <v>0.96733297621946124</v>
      </c>
      <c r="I52" s="185">
        <v>33.379614797696512</v>
      </c>
    </row>
    <row r="53" spans="1:9" s="19" customFormat="1" ht="15" customHeight="1" x14ac:dyDescent="0.25">
      <c r="A53" s="37"/>
      <c r="B53" s="38" t="s">
        <v>51</v>
      </c>
      <c r="C53" s="35"/>
      <c r="D53" s="169">
        <v>3577.9049601334741</v>
      </c>
      <c r="E53" s="184">
        <v>100</v>
      </c>
      <c r="F53" s="185">
        <v>64.149116742445742</v>
      </c>
      <c r="G53" s="185">
        <v>1.6408350161015208</v>
      </c>
      <c r="H53" s="185">
        <v>0.87831241773944657</v>
      </c>
      <c r="I53" s="185">
        <v>33.331735823713451</v>
      </c>
    </row>
    <row r="54" spans="1:9" s="19" customFormat="1" ht="15" customHeight="1" x14ac:dyDescent="0.25">
      <c r="A54" s="37"/>
      <c r="B54" s="38" t="s">
        <v>52</v>
      </c>
      <c r="C54" s="35"/>
      <c r="D54" s="169">
        <v>11326.63878201431</v>
      </c>
      <c r="E54" s="184">
        <v>100</v>
      </c>
      <c r="F54" s="185">
        <v>72.435958575166808</v>
      </c>
      <c r="G54" s="185">
        <v>7.0712984478807996</v>
      </c>
      <c r="H54" s="185">
        <v>2.879163065896003</v>
      </c>
      <c r="I54" s="185">
        <v>17.61357991105556</v>
      </c>
    </row>
    <row r="55" spans="1:9" s="19" customFormat="1" ht="15" customHeight="1" x14ac:dyDescent="0.25">
      <c r="A55" s="37"/>
      <c r="B55" s="38" t="s">
        <v>4</v>
      </c>
      <c r="C55" s="35"/>
      <c r="D55" s="169">
        <v>3288.1950600220534</v>
      </c>
      <c r="E55" s="184">
        <v>100</v>
      </c>
      <c r="F55" s="185">
        <v>83.960347911476276</v>
      </c>
      <c r="G55" s="185">
        <v>2.4143691028052814</v>
      </c>
      <c r="H55" s="185">
        <v>1.0269201530509513</v>
      </c>
      <c r="I55" s="185">
        <v>12.59836283266757</v>
      </c>
    </row>
    <row r="56" spans="1:9" s="19" customFormat="1" ht="15" customHeight="1" x14ac:dyDescent="0.25">
      <c r="A56" s="37"/>
      <c r="B56" s="38" t="s">
        <v>117</v>
      </c>
      <c r="C56" s="35"/>
      <c r="D56" s="169">
        <v>80.131938015518415</v>
      </c>
      <c r="E56" s="184">
        <v>100</v>
      </c>
      <c r="F56" s="185">
        <v>22.97771741493959</v>
      </c>
      <c r="G56" s="185">
        <v>0.1002436331736699</v>
      </c>
      <c r="H56" s="185">
        <v>0.63325081610946887</v>
      </c>
      <c r="I56" s="185">
        <v>76.28878813577731</v>
      </c>
    </row>
    <row r="57" spans="1:9" s="19" customFormat="1" ht="15" customHeight="1" x14ac:dyDescent="0.25">
      <c r="A57" s="33" t="s">
        <v>53</v>
      </c>
      <c r="B57" s="34"/>
      <c r="C57" s="35" t="s">
        <v>19</v>
      </c>
      <c r="D57" s="169"/>
      <c r="E57" s="184"/>
      <c r="F57" s="185"/>
      <c r="G57" s="185"/>
      <c r="H57" s="185"/>
      <c r="I57" s="185"/>
    </row>
    <row r="58" spans="1:9" s="19" customFormat="1" ht="15" customHeight="1" x14ac:dyDescent="0.25">
      <c r="A58" s="37"/>
      <c r="B58" s="38" t="s">
        <v>54</v>
      </c>
      <c r="C58" s="35"/>
      <c r="D58" s="169">
        <v>858.63851625481266</v>
      </c>
      <c r="E58" s="184">
        <v>100</v>
      </c>
      <c r="F58" s="185">
        <v>99.44126127721313</v>
      </c>
      <c r="G58" s="185">
        <v>0</v>
      </c>
      <c r="H58" s="185">
        <v>0.55873872278684833</v>
      </c>
      <c r="I58" s="185">
        <v>0</v>
      </c>
    </row>
    <row r="59" spans="1:9" s="19" customFormat="1" ht="15" customHeight="1" x14ac:dyDescent="0.25">
      <c r="A59" s="37"/>
      <c r="B59" s="38" t="s">
        <v>55</v>
      </c>
      <c r="C59" s="35"/>
      <c r="D59" s="169">
        <v>6378.5061167558224</v>
      </c>
      <c r="E59" s="184">
        <v>100</v>
      </c>
      <c r="F59" s="185">
        <v>99.416144083271305</v>
      </c>
      <c r="G59" s="185">
        <v>0</v>
      </c>
      <c r="H59" s="185">
        <v>0.5838559167287295</v>
      </c>
      <c r="I59" s="185">
        <v>0</v>
      </c>
    </row>
    <row r="60" spans="1:9" s="19" customFormat="1" ht="15" customHeight="1" x14ac:dyDescent="0.25">
      <c r="A60" s="37"/>
      <c r="B60" s="38" t="s">
        <v>211</v>
      </c>
      <c r="C60" s="35"/>
      <c r="D60" s="169">
        <v>1425.9672604111859</v>
      </c>
      <c r="E60" s="184">
        <v>100</v>
      </c>
      <c r="F60" s="185">
        <v>99.441343854533358</v>
      </c>
      <c r="G60" s="185">
        <v>0</v>
      </c>
      <c r="H60" s="185">
        <v>0.55865614546667464</v>
      </c>
      <c r="I60" s="185">
        <v>0</v>
      </c>
    </row>
    <row r="61" spans="1:9" s="19" customFormat="1" ht="15" customHeight="1" x14ac:dyDescent="0.25">
      <c r="A61" s="37"/>
      <c r="B61" s="38" t="s">
        <v>212</v>
      </c>
      <c r="C61" s="35"/>
      <c r="D61" s="169">
        <v>947.64890151683073</v>
      </c>
      <c r="E61" s="184">
        <v>100</v>
      </c>
      <c r="F61" s="185">
        <v>89.79176275162844</v>
      </c>
      <c r="G61" s="185">
        <v>0</v>
      </c>
      <c r="H61" s="185">
        <v>10.20823724837161</v>
      </c>
      <c r="I61" s="185">
        <v>0</v>
      </c>
    </row>
    <row r="62" spans="1:9" s="19" customFormat="1" ht="15" customHeight="1" x14ac:dyDescent="0.25">
      <c r="A62" s="37"/>
      <c r="B62" s="38" t="s">
        <v>56</v>
      </c>
      <c r="C62" s="35"/>
      <c r="D62" s="169">
        <v>9521.6254962825114</v>
      </c>
      <c r="E62" s="184">
        <v>100</v>
      </c>
      <c r="F62" s="185">
        <v>97.428578335626639</v>
      </c>
      <c r="G62" s="185">
        <v>0</v>
      </c>
      <c r="H62" s="185">
        <v>2.5714216643733332</v>
      </c>
      <c r="I62" s="185">
        <v>0</v>
      </c>
    </row>
    <row r="63" spans="1:9" s="19" customFormat="1" ht="15" customHeight="1" x14ac:dyDescent="0.25">
      <c r="A63" s="37"/>
      <c r="B63" s="38" t="s">
        <v>57</v>
      </c>
      <c r="C63" s="35"/>
      <c r="D63" s="169">
        <v>1722.5891299982352</v>
      </c>
      <c r="E63" s="184">
        <v>100</v>
      </c>
      <c r="F63" s="185">
        <v>99.680962361905642</v>
      </c>
      <c r="G63" s="185">
        <v>0</v>
      </c>
      <c r="H63" s="185">
        <v>0.31903763809434893</v>
      </c>
      <c r="I63" s="185">
        <v>0</v>
      </c>
    </row>
    <row r="64" spans="1:9" s="19" customFormat="1" ht="15" customHeight="1" x14ac:dyDescent="0.25">
      <c r="A64" s="37"/>
      <c r="B64" s="38" t="s">
        <v>204</v>
      </c>
      <c r="C64" s="35"/>
      <c r="D64" s="169">
        <v>83.971673267093962</v>
      </c>
      <c r="E64" s="184">
        <v>100</v>
      </c>
      <c r="F64" s="185">
        <v>0</v>
      </c>
      <c r="G64" s="185">
        <v>0</v>
      </c>
      <c r="H64" s="185">
        <v>100</v>
      </c>
      <c r="I64" s="185">
        <v>0</v>
      </c>
    </row>
    <row r="65" spans="1:9" s="19" customFormat="1" ht="15" customHeight="1" x14ac:dyDescent="0.25">
      <c r="A65" s="37"/>
      <c r="B65" s="38" t="s">
        <v>58</v>
      </c>
      <c r="C65" s="35"/>
      <c r="D65" s="169">
        <v>3838.7869642482669</v>
      </c>
      <c r="E65" s="184">
        <v>100</v>
      </c>
      <c r="F65" s="185">
        <v>0</v>
      </c>
      <c r="G65" s="185">
        <v>0</v>
      </c>
      <c r="H65" s="185">
        <v>0</v>
      </c>
      <c r="I65" s="185">
        <v>100</v>
      </c>
    </row>
    <row r="66" spans="1:9" s="19" customFormat="1" ht="15" customHeight="1" x14ac:dyDescent="0.25">
      <c r="A66" s="37"/>
      <c r="B66" s="38" t="s">
        <v>59</v>
      </c>
      <c r="C66" s="35"/>
      <c r="D66" s="169">
        <v>5782.2650174970122</v>
      </c>
      <c r="E66" s="184">
        <v>100</v>
      </c>
      <c r="F66" s="185">
        <v>0</v>
      </c>
      <c r="G66" s="185">
        <v>0</v>
      </c>
      <c r="H66" s="185">
        <v>0</v>
      </c>
      <c r="I66" s="185">
        <v>100</v>
      </c>
    </row>
    <row r="67" spans="1:9" s="19" customFormat="1" ht="15" customHeight="1" x14ac:dyDescent="0.25">
      <c r="A67" s="37"/>
      <c r="B67" s="38" t="s">
        <v>61</v>
      </c>
      <c r="C67" s="35"/>
      <c r="D67" s="169">
        <v>1911.4783661531592</v>
      </c>
      <c r="E67" s="184">
        <v>100</v>
      </c>
      <c r="F67" s="185">
        <v>0</v>
      </c>
      <c r="G67" s="185">
        <v>100</v>
      </c>
      <c r="H67" s="185">
        <v>0</v>
      </c>
      <c r="I67" s="185">
        <v>0</v>
      </c>
    </row>
    <row r="68" spans="1:9" s="19" customFormat="1" ht="15" customHeight="1" x14ac:dyDescent="0.25">
      <c r="A68" s="37"/>
      <c r="B68" s="38" t="s">
        <v>60</v>
      </c>
      <c r="C68" s="35"/>
      <c r="D68" s="169">
        <v>1692.5751595513027</v>
      </c>
      <c r="E68" s="184">
        <v>100</v>
      </c>
      <c r="F68" s="185">
        <v>0</v>
      </c>
      <c r="G68" s="185">
        <v>0</v>
      </c>
      <c r="H68" s="185">
        <v>0</v>
      </c>
      <c r="I68" s="185">
        <v>100</v>
      </c>
    </row>
    <row r="69" spans="1:9" s="19" customFormat="1" ht="15" customHeight="1" x14ac:dyDescent="0.25">
      <c r="A69" s="37"/>
      <c r="B69" s="38" t="s">
        <v>117</v>
      </c>
      <c r="C69" s="35"/>
      <c r="D69" s="169">
        <v>71.947398063652201</v>
      </c>
      <c r="E69" s="184">
        <v>100</v>
      </c>
      <c r="F69" s="185">
        <v>82.051756546651902</v>
      </c>
      <c r="G69" s="185">
        <v>0</v>
      </c>
      <c r="H69" s="185">
        <v>6.2855570289043419</v>
      </c>
      <c r="I69" s="185">
        <v>11.662686424443795</v>
      </c>
    </row>
    <row r="70" spans="1:9" s="19" customFormat="1" ht="15" customHeight="1" x14ac:dyDescent="0.25">
      <c r="A70" s="30"/>
      <c r="B70" s="70"/>
      <c r="C70" s="143"/>
      <c r="D70" s="172"/>
      <c r="E70" s="189"/>
      <c r="F70" s="190"/>
      <c r="G70" s="190"/>
      <c r="H70" s="190"/>
      <c r="I70" s="190"/>
    </row>
    <row r="71" spans="1:9" s="19" customFormat="1" ht="15" customHeight="1" x14ac:dyDescent="0.25">
      <c r="A71" s="33" t="s">
        <v>62</v>
      </c>
      <c r="B71" s="34"/>
      <c r="C71" s="35" t="s">
        <v>19</v>
      </c>
      <c r="D71" s="169"/>
      <c r="E71" s="184"/>
      <c r="F71" s="185"/>
      <c r="G71" s="185"/>
      <c r="H71" s="185"/>
      <c r="I71" s="185"/>
    </row>
    <row r="72" spans="1:9" s="19" customFormat="1" ht="15" customHeight="1" x14ac:dyDescent="0.25">
      <c r="A72" s="37"/>
      <c r="B72" s="38" t="s">
        <v>129</v>
      </c>
      <c r="C72" s="35"/>
      <c r="D72" s="169">
        <v>24970.999999998672</v>
      </c>
      <c r="E72" s="184">
        <v>100</v>
      </c>
      <c r="F72" s="185">
        <v>54.607617778881846</v>
      </c>
      <c r="G72" s="185">
        <v>9.7266289284183216</v>
      </c>
      <c r="H72" s="185">
        <v>1.5462746647137493</v>
      </c>
      <c r="I72" s="185">
        <v>34.119478627986084</v>
      </c>
    </row>
    <row r="73" spans="1:9" s="19" customFormat="1" ht="15" customHeight="1" x14ac:dyDescent="0.25">
      <c r="A73" s="37"/>
      <c r="B73" s="38" t="s">
        <v>130</v>
      </c>
      <c r="C73" s="35"/>
      <c r="D73" s="169">
        <v>38732.999999999141</v>
      </c>
      <c r="E73" s="184">
        <v>100</v>
      </c>
      <c r="F73" s="185">
        <v>56.88700413207539</v>
      </c>
      <c r="G73" s="185">
        <v>9.6826870639813603</v>
      </c>
      <c r="H73" s="185">
        <v>1.5607088402492622</v>
      </c>
      <c r="I73" s="185">
        <v>31.869599963693986</v>
      </c>
    </row>
    <row r="74" spans="1:9" s="19" customFormat="1" ht="15" customHeight="1" x14ac:dyDescent="0.25">
      <c r="A74" s="37"/>
      <c r="B74" s="38" t="s">
        <v>131</v>
      </c>
      <c r="C74" s="35"/>
      <c r="D74" s="169">
        <v>39899.999999999993</v>
      </c>
      <c r="E74" s="184">
        <v>100</v>
      </c>
      <c r="F74" s="185">
        <v>56.582992374249812</v>
      </c>
      <c r="G74" s="185">
        <v>9.394471407358072</v>
      </c>
      <c r="H74" s="185">
        <v>1.8058906447094927</v>
      </c>
      <c r="I74" s="185">
        <v>32.216645573682626</v>
      </c>
    </row>
    <row r="75" spans="1:9" s="19" customFormat="1" ht="15" customHeight="1" x14ac:dyDescent="0.25">
      <c r="A75" s="37"/>
      <c r="B75" s="38" t="s">
        <v>132</v>
      </c>
      <c r="C75" s="35"/>
      <c r="D75" s="169">
        <v>39907.000000000378</v>
      </c>
      <c r="E75" s="184">
        <v>100</v>
      </c>
      <c r="F75" s="185">
        <v>56.710161745723674</v>
      </c>
      <c r="G75" s="185">
        <v>9.439145079528652</v>
      </c>
      <c r="H75" s="185">
        <v>1.7800661488081744</v>
      </c>
      <c r="I75" s="185">
        <v>32.070627025939494</v>
      </c>
    </row>
    <row r="76" spans="1:9" s="19" customFormat="1" ht="15" customHeight="1" x14ac:dyDescent="0.25">
      <c r="A76" s="37"/>
      <c r="B76" s="38" t="s">
        <v>133</v>
      </c>
      <c r="C76" s="35"/>
      <c r="D76" s="169">
        <v>38267.999999998843</v>
      </c>
      <c r="E76" s="184">
        <v>100</v>
      </c>
      <c r="F76" s="185">
        <v>57.529522743543183</v>
      </c>
      <c r="G76" s="185">
        <v>9.0261134225846344</v>
      </c>
      <c r="H76" s="185">
        <v>1.6736295689508012</v>
      </c>
      <c r="I76" s="185">
        <v>31.770734264921384</v>
      </c>
    </row>
    <row r="77" spans="1:9" s="19" customFormat="1" ht="15" customHeight="1" x14ac:dyDescent="0.25">
      <c r="A77" s="37"/>
      <c r="B77" s="38" t="s">
        <v>134</v>
      </c>
      <c r="C77" s="35"/>
      <c r="D77" s="169">
        <v>38272.999999999243</v>
      </c>
      <c r="E77" s="184">
        <v>100</v>
      </c>
      <c r="F77" s="185">
        <v>58.634764879139631</v>
      </c>
      <c r="G77" s="185">
        <v>8.3990681935921607</v>
      </c>
      <c r="H77" s="185">
        <v>1.6162728098016004</v>
      </c>
      <c r="I77" s="185">
        <v>31.349894117466601</v>
      </c>
    </row>
    <row r="78" spans="1:9" s="19" customFormat="1" ht="15" customHeight="1" x14ac:dyDescent="0.25">
      <c r="A78" s="37"/>
      <c r="B78" s="38" t="s">
        <v>135</v>
      </c>
      <c r="C78" s="35"/>
      <c r="D78" s="169">
        <v>39101.00000000195</v>
      </c>
      <c r="E78" s="184">
        <v>100</v>
      </c>
      <c r="F78" s="185">
        <v>57.770751127536926</v>
      </c>
      <c r="G78" s="185">
        <v>8.4560490613866595</v>
      </c>
      <c r="H78" s="185">
        <v>1.4627637897422687</v>
      </c>
      <c r="I78" s="185">
        <v>32.310436021334134</v>
      </c>
    </row>
    <row r="79" spans="1:9" s="19" customFormat="1" ht="15" customHeight="1" x14ac:dyDescent="0.25">
      <c r="A79" s="37"/>
      <c r="B79" s="38" t="s">
        <v>136</v>
      </c>
      <c r="C79" s="35"/>
      <c r="D79" s="169">
        <v>40246.000000000146</v>
      </c>
      <c r="E79" s="184">
        <v>100</v>
      </c>
      <c r="F79" s="185">
        <v>57.649360939311102</v>
      </c>
      <c r="G79" s="185">
        <v>8.4148766374847082</v>
      </c>
      <c r="H79" s="185">
        <v>1.6024835131016175</v>
      </c>
      <c r="I79" s="185">
        <v>32.333278910102571</v>
      </c>
    </row>
    <row r="80" spans="1:9" s="19" customFormat="1" ht="15" customHeight="1" x14ac:dyDescent="0.25">
      <c r="A80" s="37"/>
      <c r="B80" s="38" t="s">
        <v>192</v>
      </c>
      <c r="C80" s="35"/>
      <c r="D80" s="169">
        <v>37337.000000000378</v>
      </c>
      <c r="E80" s="184">
        <v>100</v>
      </c>
      <c r="F80" s="185">
        <v>58.921288049389062</v>
      </c>
      <c r="G80" s="185">
        <v>6.6335852300581939</v>
      </c>
      <c r="H80" s="185">
        <v>1.7361905698377142</v>
      </c>
      <c r="I80" s="185">
        <v>32.708936150712717</v>
      </c>
    </row>
    <row r="81" spans="1:9" s="19" customFormat="1" ht="15" customHeight="1" x14ac:dyDescent="0.25">
      <c r="A81" s="37"/>
      <c r="B81" s="38" t="s">
        <v>194</v>
      </c>
      <c r="C81" s="35"/>
      <c r="D81" s="169">
        <v>37791.999999974512</v>
      </c>
      <c r="E81" s="184">
        <v>100</v>
      </c>
      <c r="F81" s="185">
        <v>57.684864521539538</v>
      </c>
      <c r="G81" s="185">
        <v>5.6236492834772394</v>
      </c>
      <c r="H81" s="185">
        <v>2.0597361589324796</v>
      </c>
      <c r="I81" s="185">
        <v>34.631750036051848</v>
      </c>
    </row>
    <row r="82" spans="1:9" s="19" customFormat="1" ht="15" customHeight="1" x14ac:dyDescent="0.25">
      <c r="A82" s="37"/>
      <c r="B82" s="38" t="s">
        <v>205</v>
      </c>
      <c r="C82" s="35"/>
      <c r="D82" s="169">
        <f t="shared" ref="D82:I82" si="0">D$9</f>
        <v>34236.000000002343</v>
      </c>
      <c r="E82" s="184">
        <f t="shared" si="0"/>
        <v>100</v>
      </c>
      <c r="F82" s="185">
        <f t="shared" si="0"/>
        <v>59.927939430748751</v>
      </c>
      <c r="G82" s="185">
        <f t="shared" si="0"/>
        <v>5.583240933967252</v>
      </c>
      <c r="H82" s="185">
        <f t="shared" si="0"/>
        <v>1.4183144923799531</v>
      </c>
      <c r="I82" s="185">
        <f t="shared" si="0"/>
        <v>33.070505142897694</v>
      </c>
    </row>
    <row r="83" spans="1:9" ht="5.0999999999999996" customHeight="1" x14ac:dyDescent="0.25">
      <c r="A83" s="111"/>
      <c r="B83" s="112"/>
      <c r="C83" s="180"/>
      <c r="D83" s="181"/>
      <c r="E83" s="191"/>
      <c r="F83" s="192"/>
      <c r="G83" s="192"/>
      <c r="H83" s="192"/>
      <c r="I83" s="192"/>
    </row>
  </sheetData>
  <mergeCells count="10">
    <mergeCell ref="A1:I1"/>
    <mergeCell ref="A3:I3"/>
    <mergeCell ref="A5:C7"/>
    <mergeCell ref="E5:E7"/>
    <mergeCell ref="F6:F7"/>
    <mergeCell ref="G6:G7"/>
    <mergeCell ref="H6:H7"/>
    <mergeCell ref="I6:I7"/>
    <mergeCell ref="A2:I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FB33-1552-4029-9B6A-3858876470D0}">
  <sheetPr codeName="工作表3"/>
  <dimension ref="A1:I80"/>
  <sheetViews>
    <sheetView showGridLines="0" view="pageBreakPreview" zoomScale="110" zoomScaleNormal="100" zoomScaleSheetLayoutView="110" workbookViewId="0">
      <selection sqref="A1:I1"/>
    </sheetView>
  </sheetViews>
  <sheetFormatPr defaultColWidth="9" defaultRowHeight="11.1" customHeight="1" x14ac:dyDescent="0.25"/>
  <cols>
    <col min="1" max="1" width="1.375" style="18" customWidth="1"/>
    <col min="2" max="2" width="14.5" style="44" customWidth="1"/>
    <col min="3" max="3" width="3.375" style="48" bestFit="1" customWidth="1"/>
    <col min="4" max="4" width="11.25" style="46" customWidth="1"/>
    <col min="5" max="9" width="11.25" style="47" customWidth="1"/>
    <col min="10" max="16384" width="9" style="46"/>
  </cols>
  <sheetData>
    <row r="1" spans="1:9" s="14" customFormat="1" ht="22.15" customHeight="1" x14ac:dyDescent="0.25">
      <c r="A1" s="255" t="s">
        <v>258</v>
      </c>
      <c r="B1" s="256"/>
      <c r="C1" s="256"/>
      <c r="D1" s="256"/>
      <c r="E1" s="256"/>
      <c r="F1" s="256"/>
      <c r="G1" s="256"/>
      <c r="H1" s="256"/>
      <c r="I1" s="256"/>
    </row>
    <row r="2" spans="1:9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</row>
    <row r="3" spans="1:9" s="23" customFormat="1" ht="13.5" customHeight="1" x14ac:dyDescent="0.25">
      <c r="A3" s="276" t="s">
        <v>98</v>
      </c>
      <c r="B3" s="276"/>
      <c r="C3" s="276"/>
      <c r="D3" s="276"/>
      <c r="E3" s="276"/>
      <c r="F3" s="276"/>
      <c r="G3" s="276"/>
      <c r="H3" s="276"/>
      <c r="I3" s="276"/>
    </row>
    <row r="4" spans="1:9" s="122" customFormat="1" ht="13.5" x14ac:dyDescent="0.25">
      <c r="A4" s="24"/>
      <c r="B4" s="24"/>
      <c r="C4" s="24"/>
      <c r="D4" s="24"/>
      <c r="E4" s="120"/>
      <c r="F4" s="120"/>
      <c r="G4" s="120"/>
      <c r="H4" s="120"/>
      <c r="I4" s="27" t="s">
        <v>119</v>
      </c>
    </row>
    <row r="5" spans="1:9" s="19" customFormat="1" ht="9.75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176"/>
      <c r="G5" s="51"/>
      <c r="H5" s="51"/>
      <c r="I5" s="51"/>
    </row>
    <row r="6" spans="1:9" s="19" customFormat="1" ht="8.25" customHeight="1" x14ac:dyDescent="0.25">
      <c r="A6" s="260"/>
      <c r="B6" s="260"/>
      <c r="C6" s="261"/>
      <c r="D6" s="261"/>
      <c r="E6" s="265"/>
      <c r="F6" s="265" t="s">
        <v>86</v>
      </c>
      <c r="G6" s="53"/>
      <c r="H6" s="52"/>
      <c r="I6" s="277" t="s">
        <v>183</v>
      </c>
    </row>
    <row r="7" spans="1:9" s="19" customFormat="1" ht="26.25" customHeight="1" x14ac:dyDescent="0.25">
      <c r="A7" s="262"/>
      <c r="B7" s="262"/>
      <c r="C7" s="263"/>
      <c r="D7" s="263"/>
      <c r="E7" s="266"/>
      <c r="F7" s="268"/>
      <c r="G7" s="136" t="s">
        <v>77</v>
      </c>
      <c r="H7" s="137" t="s">
        <v>78</v>
      </c>
      <c r="I7" s="266"/>
    </row>
    <row r="8" spans="1:9" s="19" customFormat="1" ht="4.5" customHeight="1" x14ac:dyDescent="0.25">
      <c r="A8" s="30"/>
      <c r="B8" s="31"/>
      <c r="C8" s="32"/>
      <c r="D8" s="77"/>
      <c r="E8" s="80"/>
      <c r="F8" s="177"/>
      <c r="G8" s="81"/>
      <c r="H8" s="81"/>
      <c r="I8" s="81"/>
    </row>
    <row r="9" spans="1:9" s="19" customFormat="1" ht="15" customHeight="1" x14ac:dyDescent="0.25">
      <c r="A9" s="33" t="s">
        <v>22</v>
      </c>
      <c r="B9" s="34"/>
      <c r="C9" s="35"/>
      <c r="D9" s="168">
        <v>21002.503493123815</v>
      </c>
      <c r="E9" s="57">
        <v>100</v>
      </c>
      <c r="F9" s="58">
        <v>83.093519177332169</v>
      </c>
      <c r="G9" s="58">
        <v>49.216292687690725</v>
      </c>
      <c r="H9" s="58">
        <v>33.877226489639455</v>
      </c>
      <c r="I9" s="58">
        <v>16.906480822667827</v>
      </c>
    </row>
    <row r="10" spans="1:9" s="19" customFormat="1" ht="15" customHeight="1" x14ac:dyDescent="0.25">
      <c r="A10" s="33" t="s">
        <v>23</v>
      </c>
      <c r="B10" s="34"/>
      <c r="C10" s="35" t="s">
        <v>19</v>
      </c>
      <c r="D10" s="169"/>
      <c r="E10" s="61"/>
      <c r="F10" s="178"/>
      <c r="G10" s="62"/>
      <c r="H10" s="62"/>
      <c r="I10" s="62"/>
    </row>
    <row r="11" spans="1:9" s="19" customFormat="1" ht="15" customHeight="1" x14ac:dyDescent="0.25">
      <c r="A11" s="37"/>
      <c r="B11" s="38" t="s">
        <v>24</v>
      </c>
      <c r="C11" s="35"/>
      <c r="D11" s="169">
        <v>3753.7609277352462</v>
      </c>
      <c r="E11" s="61">
        <v>100</v>
      </c>
      <c r="F11" s="62">
        <v>62.993747823533802</v>
      </c>
      <c r="G11" s="62">
        <v>40.856660377095125</v>
      </c>
      <c r="H11" s="62">
        <v>22.137087446438734</v>
      </c>
      <c r="I11" s="62">
        <v>37.006252176466198</v>
      </c>
    </row>
    <row r="12" spans="1:9" s="19" customFormat="1" ht="15" customHeight="1" x14ac:dyDescent="0.25">
      <c r="A12" s="37"/>
      <c r="B12" s="38" t="s">
        <v>25</v>
      </c>
      <c r="C12" s="35"/>
      <c r="D12" s="169">
        <v>2097.9830221611046</v>
      </c>
      <c r="E12" s="61">
        <v>100</v>
      </c>
      <c r="F12" s="62">
        <v>86.152611349663744</v>
      </c>
      <c r="G12" s="62">
        <v>40.982119590621586</v>
      </c>
      <c r="H12" s="62">
        <v>45.17049175904225</v>
      </c>
      <c r="I12" s="62">
        <v>13.847388650336258</v>
      </c>
    </row>
    <row r="13" spans="1:9" s="19" customFormat="1" ht="15" customHeight="1" x14ac:dyDescent="0.25">
      <c r="A13" s="37"/>
      <c r="B13" s="38" t="s">
        <v>26</v>
      </c>
      <c r="C13" s="35"/>
      <c r="D13" s="169">
        <v>2081.7642716542127</v>
      </c>
      <c r="E13" s="61">
        <v>100</v>
      </c>
      <c r="F13" s="62">
        <v>81.225619127412045</v>
      </c>
      <c r="G13" s="62">
        <v>51.524964972935628</v>
      </c>
      <c r="H13" s="62">
        <v>29.700654154476375</v>
      </c>
      <c r="I13" s="62">
        <v>18.774380872587955</v>
      </c>
    </row>
    <row r="14" spans="1:9" s="19" customFormat="1" ht="15" customHeight="1" x14ac:dyDescent="0.25">
      <c r="A14" s="37"/>
      <c r="B14" s="38" t="s">
        <v>27</v>
      </c>
      <c r="C14" s="35"/>
      <c r="D14" s="169">
        <v>2518.3984995319015</v>
      </c>
      <c r="E14" s="61">
        <v>100</v>
      </c>
      <c r="F14" s="62">
        <v>92.824302096211639</v>
      </c>
      <c r="G14" s="62">
        <v>52.070984316375998</v>
      </c>
      <c r="H14" s="62">
        <v>40.753317779835655</v>
      </c>
      <c r="I14" s="62">
        <v>7.1756979037883672</v>
      </c>
    </row>
    <row r="15" spans="1:9" s="19" customFormat="1" ht="15" customHeight="1" x14ac:dyDescent="0.25">
      <c r="A15" s="37"/>
      <c r="B15" s="38" t="s">
        <v>28</v>
      </c>
      <c r="C15" s="35"/>
      <c r="D15" s="169">
        <v>1725.2938626589078</v>
      </c>
      <c r="E15" s="61">
        <v>100</v>
      </c>
      <c r="F15" s="62">
        <v>96.630850717869919</v>
      </c>
      <c r="G15" s="62">
        <v>47.049012124365547</v>
      </c>
      <c r="H15" s="62">
        <v>49.581838593504699</v>
      </c>
      <c r="I15" s="62">
        <v>3.3691492821300804</v>
      </c>
    </row>
    <row r="16" spans="1:9" s="19" customFormat="1" ht="15" customHeight="1" x14ac:dyDescent="0.25">
      <c r="A16" s="37"/>
      <c r="B16" s="38" t="s">
        <v>29</v>
      </c>
      <c r="C16" s="35"/>
      <c r="D16" s="169">
        <v>2475.3470173877176</v>
      </c>
      <c r="E16" s="61">
        <v>100</v>
      </c>
      <c r="F16" s="62">
        <v>92.031185451513196</v>
      </c>
      <c r="G16" s="62">
        <v>44.246308269161283</v>
      </c>
      <c r="H16" s="62">
        <v>47.784877182351863</v>
      </c>
      <c r="I16" s="62">
        <v>7.9688145484868036</v>
      </c>
    </row>
    <row r="17" spans="1:9" s="19" customFormat="1" ht="15" customHeight="1" x14ac:dyDescent="0.25">
      <c r="A17" s="37"/>
      <c r="B17" s="38" t="s">
        <v>30</v>
      </c>
      <c r="C17" s="35"/>
      <c r="D17" s="169">
        <v>397.64650927707146</v>
      </c>
      <c r="E17" s="61">
        <v>100</v>
      </c>
      <c r="F17" s="62">
        <v>91.466978688812958</v>
      </c>
      <c r="G17" s="62">
        <v>50.473236172444679</v>
      </c>
      <c r="H17" s="62">
        <v>40.993742516368251</v>
      </c>
      <c r="I17" s="62">
        <v>8.5330213111870368</v>
      </c>
    </row>
    <row r="18" spans="1:9" s="19" customFormat="1" ht="15" customHeight="1" x14ac:dyDescent="0.25">
      <c r="A18" s="37"/>
      <c r="B18" s="38" t="s">
        <v>31</v>
      </c>
      <c r="C18" s="35"/>
      <c r="D18" s="169">
        <v>521.80656410842698</v>
      </c>
      <c r="E18" s="61">
        <v>100</v>
      </c>
      <c r="F18" s="62">
        <v>72.296591308497497</v>
      </c>
      <c r="G18" s="62">
        <v>50.899524672606475</v>
      </c>
      <c r="H18" s="62">
        <v>21.39706663589099</v>
      </c>
      <c r="I18" s="62">
        <v>27.703408691502503</v>
      </c>
    </row>
    <row r="19" spans="1:9" s="19" customFormat="1" ht="15" customHeight="1" x14ac:dyDescent="0.25">
      <c r="A19" s="37"/>
      <c r="B19" s="38" t="s">
        <v>32</v>
      </c>
      <c r="C19" s="35"/>
      <c r="D19" s="169">
        <v>471.52612298004203</v>
      </c>
      <c r="E19" s="61">
        <v>100</v>
      </c>
      <c r="F19" s="62">
        <v>77.752082124372762</v>
      </c>
      <c r="G19" s="62">
        <v>49.822972114229231</v>
      </c>
      <c r="H19" s="62">
        <v>27.92911001014339</v>
      </c>
      <c r="I19" s="62">
        <v>22.247917875627241</v>
      </c>
    </row>
    <row r="20" spans="1:9" s="19" customFormat="1" ht="15" customHeight="1" x14ac:dyDescent="0.25">
      <c r="A20" s="37"/>
      <c r="B20" s="38" t="s">
        <v>33</v>
      </c>
      <c r="C20" s="35"/>
      <c r="D20" s="169">
        <v>1128.9488298933079</v>
      </c>
      <c r="E20" s="61">
        <v>100</v>
      </c>
      <c r="F20" s="62">
        <v>86.770711493355137</v>
      </c>
      <c r="G20" s="62">
        <v>56.951406475308957</v>
      </c>
      <c r="H20" s="62">
        <v>29.819305018046322</v>
      </c>
      <c r="I20" s="62">
        <v>13.229288506644862</v>
      </c>
    </row>
    <row r="21" spans="1:9" s="19" customFormat="1" ht="15" customHeight="1" x14ac:dyDescent="0.25">
      <c r="A21" s="37"/>
      <c r="B21" s="38" t="s">
        <v>34</v>
      </c>
      <c r="C21" s="35"/>
      <c r="D21" s="169">
        <v>426.89427842533036</v>
      </c>
      <c r="E21" s="61">
        <v>100</v>
      </c>
      <c r="F21" s="62">
        <v>86.130082360279815</v>
      </c>
      <c r="G21" s="62">
        <v>70.188907128142873</v>
      </c>
      <c r="H21" s="62">
        <v>15.941175232136752</v>
      </c>
      <c r="I21" s="62">
        <v>13.869917639720185</v>
      </c>
    </row>
    <row r="22" spans="1:9" s="19" customFormat="1" ht="15" customHeight="1" x14ac:dyDescent="0.25">
      <c r="A22" s="37"/>
      <c r="B22" s="38" t="s">
        <v>35</v>
      </c>
      <c r="C22" s="35"/>
      <c r="D22" s="169">
        <v>564.02524407835892</v>
      </c>
      <c r="E22" s="61">
        <v>100</v>
      </c>
      <c r="F22" s="62">
        <v>90.314699829620466</v>
      </c>
      <c r="G22" s="62">
        <v>65.166787065757404</v>
      </c>
      <c r="H22" s="62">
        <v>25.147912763862976</v>
      </c>
      <c r="I22" s="62">
        <v>9.685300170379529</v>
      </c>
    </row>
    <row r="23" spans="1:9" s="19" customFormat="1" ht="15" customHeight="1" x14ac:dyDescent="0.25">
      <c r="A23" s="37"/>
      <c r="B23" s="38" t="s">
        <v>36</v>
      </c>
      <c r="C23" s="35"/>
      <c r="D23" s="169">
        <v>448.26424474472833</v>
      </c>
      <c r="E23" s="61">
        <v>100</v>
      </c>
      <c r="F23" s="62">
        <v>77.237513427125705</v>
      </c>
      <c r="G23" s="62">
        <v>55.600037581966816</v>
      </c>
      <c r="H23" s="62">
        <v>21.637475845158768</v>
      </c>
      <c r="I23" s="62">
        <v>22.762486572874298</v>
      </c>
    </row>
    <row r="24" spans="1:9" s="19" customFormat="1" ht="15" customHeight="1" x14ac:dyDescent="0.25">
      <c r="A24" s="37"/>
      <c r="B24" s="38" t="s">
        <v>37</v>
      </c>
      <c r="C24" s="35"/>
      <c r="D24" s="169">
        <v>710.06258303333743</v>
      </c>
      <c r="E24" s="61">
        <v>100</v>
      </c>
      <c r="F24" s="62">
        <v>90.291572809948249</v>
      </c>
      <c r="G24" s="62">
        <v>61.577618512210165</v>
      </c>
      <c r="H24" s="62">
        <v>28.713954297737974</v>
      </c>
      <c r="I24" s="62">
        <v>9.7084271900517471</v>
      </c>
    </row>
    <row r="25" spans="1:9" s="19" customFormat="1" ht="15" customHeight="1" x14ac:dyDescent="0.25">
      <c r="A25" s="37"/>
      <c r="B25" s="38" t="s">
        <v>38</v>
      </c>
      <c r="C25" s="35"/>
      <c r="D25" s="169">
        <v>194.48182240341816</v>
      </c>
      <c r="E25" s="61">
        <v>100</v>
      </c>
      <c r="F25" s="62">
        <v>95.615864146129425</v>
      </c>
      <c r="G25" s="62">
        <v>80.994231190216567</v>
      </c>
      <c r="H25" s="62">
        <v>14.621632955912853</v>
      </c>
      <c r="I25" s="62">
        <v>4.384135853870581</v>
      </c>
    </row>
    <row r="26" spans="1:9" s="19" customFormat="1" ht="15" customHeight="1" x14ac:dyDescent="0.25">
      <c r="A26" s="37"/>
      <c r="B26" s="38" t="s">
        <v>39</v>
      </c>
      <c r="C26" s="35"/>
      <c r="D26" s="169">
        <v>278.8647397061913</v>
      </c>
      <c r="E26" s="61">
        <v>100</v>
      </c>
      <c r="F26" s="62">
        <v>99.557133457829082</v>
      </c>
      <c r="G26" s="62">
        <v>65.623227642783434</v>
      </c>
      <c r="H26" s="62">
        <v>33.933905815045541</v>
      </c>
      <c r="I26" s="62">
        <v>0.44286654217091603</v>
      </c>
    </row>
    <row r="27" spans="1:9" s="19" customFormat="1" ht="15" customHeight="1" x14ac:dyDescent="0.25">
      <c r="A27" s="37"/>
      <c r="B27" s="38" t="s">
        <v>40</v>
      </c>
      <c r="C27" s="35"/>
      <c r="D27" s="169">
        <v>98.230006733749732</v>
      </c>
      <c r="E27" s="61">
        <v>100</v>
      </c>
      <c r="F27" s="62">
        <v>99.86382250477179</v>
      </c>
      <c r="G27" s="62">
        <v>83.636986572730507</v>
      </c>
      <c r="H27" s="62">
        <v>16.226835932041087</v>
      </c>
      <c r="I27" s="62">
        <v>0.1361774952282076</v>
      </c>
    </row>
    <row r="28" spans="1:9" s="19" customFormat="1" ht="15" customHeight="1" x14ac:dyDescent="0.25">
      <c r="A28" s="37"/>
      <c r="B28" s="38" t="s">
        <v>41</v>
      </c>
      <c r="C28" s="35"/>
      <c r="D28" s="169">
        <v>322.28249306937653</v>
      </c>
      <c r="E28" s="61">
        <v>100</v>
      </c>
      <c r="F28" s="62">
        <v>56.847857613985177</v>
      </c>
      <c r="G28" s="62">
        <v>31.571064124110766</v>
      </c>
      <c r="H28" s="62">
        <v>25.276793489874596</v>
      </c>
      <c r="I28" s="62">
        <v>43.152142386014823</v>
      </c>
    </row>
    <row r="29" spans="1:9" s="19" customFormat="1" ht="15" customHeight="1" x14ac:dyDescent="0.25">
      <c r="A29" s="37"/>
      <c r="B29" s="38" t="s">
        <v>42</v>
      </c>
      <c r="C29" s="35"/>
      <c r="D29" s="169">
        <v>403.55221500314747</v>
      </c>
      <c r="E29" s="61">
        <v>100</v>
      </c>
      <c r="F29" s="62">
        <v>72.607076199874768</v>
      </c>
      <c r="G29" s="62">
        <v>49.804513814582407</v>
      </c>
      <c r="H29" s="62">
        <v>22.802562385292799</v>
      </c>
      <c r="I29" s="62">
        <v>27.392923800125235</v>
      </c>
    </row>
    <row r="30" spans="1:9" s="19" customFormat="1" ht="15" customHeight="1" x14ac:dyDescent="0.25">
      <c r="A30" s="37"/>
      <c r="B30" s="38" t="s">
        <v>43</v>
      </c>
      <c r="C30" s="35"/>
      <c r="D30" s="169">
        <v>229.72896984041373</v>
      </c>
      <c r="E30" s="61">
        <v>100</v>
      </c>
      <c r="F30" s="62">
        <v>70.808137913849862</v>
      </c>
      <c r="G30" s="62">
        <v>56.463657496634916</v>
      </c>
      <c r="H30" s="62">
        <v>14.344480417214804</v>
      </c>
      <c r="I30" s="62">
        <v>29.191862086150145</v>
      </c>
    </row>
    <row r="31" spans="1:9" s="19" customFormat="1" ht="15" customHeight="1" x14ac:dyDescent="0.25">
      <c r="A31" s="37"/>
      <c r="B31" s="38" t="s">
        <v>44</v>
      </c>
      <c r="C31" s="35"/>
      <c r="D31" s="169">
        <v>136.91225074859489</v>
      </c>
      <c r="E31" s="61">
        <v>100</v>
      </c>
      <c r="F31" s="62">
        <v>99.942876063066038</v>
      </c>
      <c r="G31" s="62">
        <v>60.277605840706755</v>
      </c>
      <c r="H31" s="62">
        <v>39.665270222359482</v>
      </c>
      <c r="I31" s="62">
        <v>5.7123936933957294E-2</v>
      </c>
    </row>
    <row r="32" spans="1:9" s="19" customFormat="1" ht="15" customHeight="1" x14ac:dyDescent="0.25">
      <c r="A32" s="37"/>
      <c r="B32" s="38" t="s">
        <v>45</v>
      </c>
      <c r="C32" s="35"/>
      <c r="D32" s="169">
        <v>16.729017948855699</v>
      </c>
      <c r="E32" s="61">
        <v>100</v>
      </c>
      <c r="F32" s="62">
        <v>100</v>
      </c>
      <c r="G32" s="62">
        <v>100</v>
      </c>
      <c r="H32" s="62">
        <v>0</v>
      </c>
      <c r="I32" s="62">
        <v>0</v>
      </c>
    </row>
    <row r="33" spans="1:9" s="19" customFormat="1" ht="15" customHeight="1" x14ac:dyDescent="0.25">
      <c r="A33" s="37" t="s">
        <v>232</v>
      </c>
      <c r="B33" s="38"/>
      <c r="C33" s="36" t="s">
        <v>19</v>
      </c>
      <c r="D33" s="157"/>
      <c r="E33" s="158"/>
      <c r="F33" s="159"/>
      <c r="G33" s="159"/>
      <c r="H33" s="62"/>
      <c r="I33" s="62"/>
    </row>
    <row r="34" spans="1:9" s="19" customFormat="1" ht="15" customHeight="1" x14ac:dyDescent="0.25">
      <c r="A34" s="37"/>
      <c r="B34" s="38" t="s">
        <v>233</v>
      </c>
      <c r="C34" s="35"/>
      <c r="D34" s="169">
        <v>14652.547601129078</v>
      </c>
      <c r="E34" s="61">
        <v>100</v>
      </c>
      <c r="F34" s="62">
        <v>82.89323654319179</v>
      </c>
      <c r="G34" s="62">
        <v>45.619547104580171</v>
      </c>
      <c r="H34" s="62">
        <v>37.273689438611839</v>
      </c>
      <c r="I34" s="62">
        <v>17.106763456808217</v>
      </c>
    </row>
    <row r="35" spans="1:9" s="19" customFormat="1" ht="15" customHeight="1" x14ac:dyDescent="0.25">
      <c r="A35" s="37"/>
      <c r="B35" s="38" t="s">
        <v>234</v>
      </c>
      <c r="C35" s="35"/>
      <c r="D35" s="169">
        <v>6349.9558919943365</v>
      </c>
      <c r="E35" s="61">
        <v>100</v>
      </c>
      <c r="F35" s="62">
        <v>83.555672124585712</v>
      </c>
      <c r="G35" s="62">
        <v>57.51579693025564</v>
      </c>
      <c r="H35" s="62">
        <v>26.039875194330332</v>
      </c>
      <c r="I35" s="62">
        <v>16.444327875414292</v>
      </c>
    </row>
    <row r="36" spans="1:9" s="19" customFormat="1" ht="15" customHeight="1" x14ac:dyDescent="0.25">
      <c r="A36" s="33" t="s">
        <v>46</v>
      </c>
      <c r="B36" s="34"/>
      <c r="C36" s="35" t="s">
        <v>19</v>
      </c>
      <c r="D36" s="169"/>
      <c r="E36" s="61"/>
      <c r="F36" s="178"/>
      <c r="G36" s="62"/>
      <c r="H36" s="62"/>
      <c r="I36" s="62"/>
    </row>
    <row r="37" spans="1:9" s="19" customFormat="1" ht="15" customHeight="1" x14ac:dyDescent="0.25">
      <c r="A37" s="37"/>
      <c r="B37" s="38" t="s">
        <v>47</v>
      </c>
      <c r="C37" s="35"/>
      <c r="D37" s="169">
        <v>11432.820230234651</v>
      </c>
      <c r="E37" s="61">
        <v>100</v>
      </c>
      <c r="F37" s="62">
        <v>81.393442495287175</v>
      </c>
      <c r="G37" s="62">
        <v>46.986768425051615</v>
      </c>
      <c r="H37" s="62">
        <v>34.406674070234928</v>
      </c>
      <c r="I37" s="62">
        <v>18.606557504712821</v>
      </c>
    </row>
    <row r="38" spans="1:9" s="19" customFormat="1" ht="15" customHeight="1" x14ac:dyDescent="0.25">
      <c r="A38" s="37"/>
      <c r="B38" s="38" t="s">
        <v>48</v>
      </c>
      <c r="C38" s="35"/>
      <c r="D38" s="169">
        <v>9569.6832628887951</v>
      </c>
      <c r="E38" s="61">
        <v>100</v>
      </c>
      <c r="F38" s="62">
        <v>85.124586512528467</v>
      </c>
      <c r="G38" s="62">
        <v>51.879886601250242</v>
      </c>
      <c r="H38" s="62">
        <v>33.244699911278779</v>
      </c>
      <c r="I38" s="62">
        <v>14.87541348747153</v>
      </c>
    </row>
    <row r="39" spans="1:9" s="19" customFormat="1" ht="15" customHeight="1" x14ac:dyDescent="0.25">
      <c r="A39" s="37" t="s">
        <v>49</v>
      </c>
      <c r="B39" s="38"/>
      <c r="C39" s="36" t="s">
        <v>19</v>
      </c>
      <c r="D39" s="169"/>
      <c r="E39" s="61"/>
      <c r="F39" s="178"/>
      <c r="G39" s="62"/>
      <c r="H39" s="62"/>
      <c r="I39" s="62"/>
    </row>
    <row r="40" spans="1:9" s="19" customFormat="1" ht="15" customHeight="1" x14ac:dyDescent="0.25">
      <c r="A40" s="37"/>
      <c r="B40" s="38" t="s">
        <v>107</v>
      </c>
      <c r="C40" s="36"/>
      <c r="D40" s="169">
        <v>102.65708598231996</v>
      </c>
      <c r="E40" s="61">
        <v>100</v>
      </c>
      <c r="F40" s="62">
        <v>90.744279950300395</v>
      </c>
      <c r="G40" s="62">
        <v>81.419576104699104</v>
      </c>
      <c r="H40" s="62">
        <v>9.3247038456013307</v>
      </c>
      <c r="I40" s="62">
        <v>9.2557200496996028</v>
      </c>
    </row>
    <row r="41" spans="1:9" s="19" customFormat="1" ht="15" customHeight="1" x14ac:dyDescent="0.25">
      <c r="A41" s="37"/>
      <c r="B41" s="38" t="s">
        <v>108</v>
      </c>
      <c r="C41" s="36"/>
      <c r="D41" s="169">
        <v>220.89830784135384</v>
      </c>
      <c r="E41" s="61">
        <v>100</v>
      </c>
      <c r="F41" s="62">
        <v>82.013679458472225</v>
      </c>
      <c r="G41" s="62">
        <v>55.371821560458969</v>
      </c>
      <c r="H41" s="62">
        <v>26.641857898013185</v>
      </c>
      <c r="I41" s="62">
        <v>17.986320541527778</v>
      </c>
    </row>
    <row r="42" spans="1:9" s="19" customFormat="1" ht="15" customHeight="1" x14ac:dyDescent="0.25">
      <c r="A42" s="37"/>
      <c r="B42" s="38" t="s">
        <v>109</v>
      </c>
      <c r="C42" s="36"/>
      <c r="D42" s="169">
        <v>3553.5066837973141</v>
      </c>
      <c r="E42" s="61">
        <v>100</v>
      </c>
      <c r="F42" s="62">
        <v>84.991709650662955</v>
      </c>
      <c r="G42" s="62">
        <v>48.443015875277382</v>
      </c>
      <c r="H42" s="62">
        <v>36.548693775384628</v>
      </c>
      <c r="I42" s="62">
        <v>15.008290349337043</v>
      </c>
    </row>
    <row r="43" spans="1:9" s="19" customFormat="1" ht="15" customHeight="1" x14ac:dyDescent="0.25">
      <c r="A43" s="37"/>
      <c r="B43" s="38" t="s">
        <v>110</v>
      </c>
      <c r="C43" s="36"/>
      <c r="D43" s="169">
        <v>4746.1343800517325</v>
      </c>
      <c r="E43" s="61">
        <v>100</v>
      </c>
      <c r="F43" s="62">
        <v>81.095251552294968</v>
      </c>
      <c r="G43" s="62">
        <v>46.164510009443994</v>
      </c>
      <c r="H43" s="62">
        <v>34.930741542850939</v>
      </c>
      <c r="I43" s="62">
        <v>18.904748447705028</v>
      </c>
    </row>
    <row r="44" spans="1:9" s="19" customFormat="1" ht="15" customHeight="1" x14ac:dyDescent="0.25">
      <c r="A44" s="37"/>
      <c r="B44" s="38" t="s">
        <v>111</v>
      </c>
      <c r="C44" s="36"/>
      <c r="D44" s="169">
        <v>5535.9026546281648</v>
      </c>
      <c r="E44" s="61">
        <v>100</v>
      </c>
      <c r="F44" s="62">
        <v>83.033147918105385</v>
      </c>
      <c r="G44" s="62">
        <v>47.471054749431609</v>
      </c>
      <c r="H44" s="62">
        <v>35.562093168674366</v>
      </c>
      <c r="I44" s="62">
        <v>16.966852081894608</v>
      </c>
    </row>
    <row r="45" spans="1:9" s="19" customFormat="1" ht="15" customHeight="1" x14ac:dyDescent="0.25">
      <c r="A45" s="37"/>
      <c r="B45" s="38" t="s">
        <v>112</v>
      </c>
      <c r="C45" s="36"/>
      <c r="D45" s="169">
        <v>4231.4691871800915</v>
      </c>
      <c r="E45" s="61">
        <v>100</v>
      </c>
      <c r="F45" s="62">
        <v>82.085683332355813</v>
      </c>
      <c r="G45" s="62">
        <v>47.29335043716268</v>
      </c>
      <c r="H45" s="62">
        <v>34.792332895193404</v>
      </c>
      <c r="I45" s="62">
        <v>17.914316667644183</v>
      </c>
    </row>
    <row r="46" spans="1:9" s="19" customFormat="1" ht="15" customHeight="1" x14ac:dyDescent="0.25">
      <c r="A46" s="37"/>
      <c r="B46" s="38" t="s">
        <v>113</v>
      </c>
      <c r="C46" s="36"/>
      <c r="D46" s="169">
        <v>1431.5317295441082</v>
      </c>
      <c r="E46" s="61">
        <v>100</v>
      </c>
      <c r="F46" s="62">
        <v>84.35554701286874</v>
      </c>
      <c r="G46" s="62">
        <v>56.836811307090215</v>
      </c>
      <c r="H46" s="62">
        <v>27.518735705778052</v>
      </c>
      <c r="I46" s="62">
        <v>15.644452987131261</v>
      </c>
    </row>
    <row r="47" spans="1:9" s="19" customFormat="1" ht="15" customHeight="1" x14ac:dyDescent="0.25">
      <c r="A47" s="37"/>
      <c r="B47" s="38" t="s">
        <v>114</v>
      </c>
      <c r="C47" s="36"/>
      <c r="D47" s="169">
        <v>1180.4034640983775</v>
      </c>
      <c r="E47" s="61">
        <v>100</v>
      </c>
      <c r="F47" s="62">
        <v>87.315928803518517</v>
      </c>
      <c r="G47" s="62">
        <v>65.698536661221837</v>
      </c>
      <c r="H47" s="62">
        <v>21.617392142297202</v>
      </c>
      <c r="I47" s="62">
        <v>12.684071196481485</v>
      </c>
    </row>
    <row r="48" spans="1:9" s="19" customFormat="1" ht="4.5" customHeight="1" x14ac:dyDescent="0.25">
      <c r="A48" s="39"/>
      <c r="B48" s="40"/>
      <c r="C48" s="41"/>
      <c r="D48" s="170"/>
      <c r="E48" s="83"/>
      <c r="F48" s="179"/>
      <c r="G48" s="84"/>
      <c r="H48" s="84"/>
      <c r="I48" s="84"/>
    </row>
    <row r="49" spans="1:9" s="19" customFormat="1" ht="15.95" customHeight="1" x14ac:dyDescent="0.25">
      <c r="A49" s="33" t="s">
        <v>50</v>
      </c>
      <c r="B49" s="34"/>
      <c r="C49" s="35"/>
      <c r="D49" s="169"/>
      <c r="E49" s="61"/>
      <c r="F49" s="178"/>
      <c r="G49" s="62"/>
      <c r="H49" s="62"/>
      <c r="I49" s="62"/>
    </row>
    <row r="50" spans="1:9" s="19" customFormat="1" ht="15.95" customHeight="1" x14ac:dyDescent="0.25">
      <c r="A50" s="37"/>
      <c r="B50" s="38" t="s">
        <v>3</v>
      </c>
      <c r="C50" s="35"/>
      <c r="D50" s="169">
        <v>501.3040419063675</v>
      </c>
      <c r="E50" s="61">
        <v>100</v>
      </c>
      <c r="F50" s="62">
        <v>88.223963047724808</v>
      </c>
      <c r="G50" s="62">
        <v>72.867228989202616</v>
      </c>
      <c r="H50" s="62">
        <v>15.35673405852226</v>
      </c>
      <c r="I50" s="62">
        <v>11.776036952275197</v>
      </c>
    </row>
    <row r="51" spans="1:9" s="19" customFormat="1" ht="15.95" customHeight="1" x14ac:dyDescent="0.25">
      <c r="A51" s="37"/>
      <c r="B51" s="38" t="s">
        <v>115</v>
      </c>
      <c r="C51" s="35"/>
      <c r="D51" s="169">
        <v>1299.7880952782189</v>
      </c>
      <c r="E51" s="61">
        <v>100</v>
      </c>
      <c r="F51" s="62">
        <v>87.534971398884238</v>
      </c>
      <c r="G51" s="62">
        <v>60.946878524876873</v>
      </c>
      <c r="H51" s="62">
        <v>26.588092874007515</v>
      </c>
      <c r="I51" s="62">
        <v>12.465028601115767</v>
      </c>
    </row>
    <row r="52" spans="1:9" s="19" customFormat="1" ht="15.95" customHeight="1" x14ac:dyDescent="0.25">
      <c r="A52" s="37"/>
      <c r="B52" s="38" t="s">
        <v>116</v>
      </c>
      <c r="C52" s="35"/>
      <c r="D52" s="169">
        <v>5530.6528894781823</v>
      </c>
      <c r="E52" s="61">
        <v>100</v>
      </c>
      <c r="F52" s="62">
        <v>87.761132842803349</v>
      </c>
      <c r="G52" s="62">
        <v>54.21743404227179</v>
      </c>
      <c r="H52" s="62">
        <v>33.543698800532106</v>
      </c>
      <c r="I52" s="62">
        <v>12.238867157196649</v>
      </c>
    </row>
    <row r="53" spans="1:9" s="19" customFormat="1" ht="15.95" customHeight="1" x14ac:dyDescent="0.25">
      <c r="A53" s="37"/>
      <c r="B53" s="38" t="s">
        <v>51</v>
      </c>
      <c r="C53" s="35"/>
      <c r="D53" s="169">
        <v>2326.6196133695466</v>
      </c>
      <c r="E53" s="61">
        <v>100</v>
      </c>
      <c r="F53" s="62">
        <v>82.866074190997054</v>
      </c>
      <c r="G53" s="62">
        <v>50.31936204418659</v>
      </c>
      <c r="H53" s="62">
        <v>32.546712146810371</v>
      </c>
      <c r="I53" s="62">
        <v>17.13392580900295</v>
      </c>
    </row>
    <row r="54" spans="1:9" s="19" customFormat="1" ht="15.95" customHeight="1" x14ac:dyDescent="0.25">
      <c r="A54" s="37"/>
      <c r="B54" s="38" t="s">
        <v>52</v>
      </c>
      <c r="C54" s="35"/>
      <c r="D54" s="169">
        <v>8530.6717765178291</v>
      </c>
      <c r="E54" s="61">
        <v>100</v>
      </c>
      <c r="F54" s="62">
        <v>81.729192783021446</v>
      </c>
      <c r="G54" s="62">
        <v>45.951492545423925</v>
      </c>
      <c r="H54" s="62">
        <v>35.777700237597969</v>
      </c>
      <c r="I54" s="62">
        <v>18.270807216978557</v>
      </c>
    </row>
    <row r="55" spans="1:9" s="19" customFormat="1" ht="15.95" customHeight="1" x14ac:dyDescent="0.25">
      <c r="A55" s="37"/>
      <c r="B55" s="38" t="s">
        <v>4</v>
      </c>
      <c r="C55" s="35"/>
      <c r="D55" s="169">
        <v>2794.5471501454845</v>
      </c>
      <c r="E55" s="61">
        <v>100</v>
      </c>
      <c r="F55" s="62">
        <v>75.203938923627987</v>
      </c>
      <c r="G55" s="62">
        <v>38.563426558484146</v>
      </c>
      <c r="H55" s="62">
        <v>36.640512365143707</v>
      </c>
      <c r="I55" s="62">
        <v>24.796061076372006</v>
      </c>
    </row>
    <row r="56" spans="1:9" s="19" customFormat="1" ht="15.95" customHeight="1" x14ac:dyDescent="0.25">
      <c r="A56" s="37"/>
      <c r="B56" s="38" t="s">
        <v>117</v>
      </c>
      <c r="C56" s="35"/>
      <c r="D56" s="169">
        <v>18.919926427767976</v>
      </c>
      <c r="E56" s="61">
        <v>100</v>
      </c>
      <c r="F56" s="62">
        <v>86.042403142921657</v>
      </c>
      <c r="G56" s="62">
        <v>64.612211125253324</v>
      </c>
      <c r="H56" s="62">
        <v>21.430192017668372</v>
      </c>
      <c r="I56" s="62">
        <v>13.957596857078338</v>
      </c>
    </row>
    <row r="57" spans="1:9" s="19" customFormat="1" ht="15.95" customHeight="1" x14ac:dyDescent="0.25">
      <c r="A57" s="37" t="s">
        <v>53</v>
      </c>
      <c r="B57" s="38"/>
      <c r="C57" s="36"/>
      <c r="D57" s="169"/>
      <c r="E57" s="61"/>
      <c r="F57" s="178"/>
      <c r="G57" s="62"/>
      <c r="H57" s="62"/>
      <c r="I57" s="62"/>
    </row>
    <row r="58" spans="1:9" s="19" customFormat="1" ht="15.95" customHeight="1" x14ac:dyDescent="0.25">
      <c r="A58" s="37"/>
      <c r="B58" s="38" t="s">
        <v>54</v>
      </c>
      <c r="C58" s="36"/>
      <c r="D58" s="169">
        <v>858.63851625481266</v>
      </c>
      <c r="E58" s="61">
        <v>100</v>
      </c>
      <c r="F58" s="62">
        <v>97.444827503904691</v>
      </c>
      <c r="G58" s="62">
        <v>85.461070866874138</v>
      </c>
      <c r="H58" s="62">
        <v>11.983756637030528</v>
      </c>
      <c r="I58" s="62">
        <v>2.5551724960953104</v>
      </c>
    </row>
    <row r="59" spans="1:9" s="19" customFormat="1" ht="15.95" customHeight="1" x14ac:dyDescent="0.25">
      <c r="A59" s="37"/>
      <c r="B59" s="38" t="s">
        <v>55</v>
      </c>
      <c r="C59" s="36"/>
      <c r="D59" s="169">
        <v>6378.5061167558224</v>
      </c>
      <c r="E59" s="61">
        <v>100</v>
      </c>
      <c r="F59" s="62">
        <v>81.302702817244153</v>
      </c>
      <c r="G59" s="62">
        <v>44.390905879610614</v>
      </c>
      <c r="H59" s="62">
        <v>36.911796937633866</v>
      </c>
      <c r="I59" s="62">
        <v>18.69729718275584</v>
      </c>
    </row>
    <row r="60" spans="1:9" s="19" customFormat="1" ht="15.95" customHeight="1" x14ac:dyDescent="0.25">
      <c r="A60" s="37"/>
      <c r="B60" s="38" t="s">
        <v>211</v>
      </c>
      <c r="C60" s="36"/>
      <c r="D60" s="169">
        <v>1425.9672604111859</v>
      </c>
      <c r="E60" s="61">
        <v>100</v>
      </c>
      <c r="F60" s="62">
        <v>86.539031525361949</v>
      </c>
      <c r="G60" s="62">
        <v>55.398516192627163</v>
      </c>
      <c r="H60" s="62">
        <v>31.140515332734875</v>
      </c>
      <c r="I60" s="62">
        <v>13.460968474638051</v>
      </c>
    </row>
    <row r="61" spans="1:9" s="19" customFormat="1" ht="15.95" customHeight="1" x14ac:dyDescent="0.25">
      <c r="A61" s="37"/>
      <c r="B61" s="38" t="s">
        <v>212</v>
      </c>
      <c r="C61" s="36"/>
      <c r="D61" s="169">
        <v>947.64890151683073</v>
      </c>
      <c r="E61" s="61">
        <v>100</v>
      </c>
      <c r="F61" s="62">
        <v>87.203235299463188</v>
      </c>
      <c r="G61" s="62">
        <v>58.205484577214257</v>
      </c>
      <c r="H61" s="62">
        <v>28.997750722248913</v>
      </c>
      <c r="I61" s="62">
        <v>12.796764700536807</v>
      </c>
    </row>
    <row r="62" spans="1:9" s="19" customFormat="1" ht="15.95" customHeight="1" x14ac:dyDescent="0.25">
      <c r="A62" s="37"/>
      <c r="B62" s="38" t="s">
        <v>56</v>
      </c>
      <c r="C62" s="36"/>
      <c r="D62" s="169">
        <v>9521.6254962825114</v>
      </c>
      <c r="E62" s="61">
        <v>100</v>
      </c>
      <c r="F62" s="62">
        <v>82.649934518766557</v>
      </c>
      <c r="G62" s="62">
        <v>48.553092816263437</v>
      </c>
      <c r="H62" s="62">
        <v>34.096841702503063</v>
      </c>
      <c r="I62" s="62">
        <v>17.350065481233443</v>
      </c>
    </row>
    <row r="63" spans="1:9" s="19" customFormat="1" ht="15.95" customHeight="1" x14ac:dyDescent="0.25">
      <c r="A63" s="37"/>
      <c r="B63" s="38" t="s">
        <v>57</v>
      </c>
      <c r="C63" s="36"/>
      <c r="D63" s="169">
        <v>1722.5891299982352</v>
      </c>
      <c r="E63" s="61">
        <v>100</v>
      </c>
      <c r="F63" s="62">
        <v>79.876773609365131</v>
      </c>
      <c r="G63" s="62">
        <v>43.01524936578479</v>
      </c>
      <c r="H63" s="62">
        <v>36.861524243579993</v>
      </c>
      <c r="I63" s="62">
        <v>20.123226390634873</v>
      </c>
    </row>
    <row r="64" spans="1:9" s="19" customFormat="1" ht="15.95" customHeight="1" x14ac:dyDescent="0.25">
      <c r="A64" s="37"/>
      <c r="B64" s="38" t="s">
        <v>204</v>
      </c>
      <c r="C64" s="36"/>
      <c r="D64" s="169">
        <v>83.971673267093962</v>
      </c>
      <c r="E64" s="61">
        <v>100</v>
      </c>
      <c r="F64" s="62">
        <v>82.147878091445889</v>
      </c>
      <c r="G64" s="62">
        <v>55.09627277163456</v>
      </c>
      <c r="H64" s="62">
        <v>27.051605319811369</v>
      </c>
      <c r="I64" s="62">
        <v>17.852121908554107</v>
      </c>
    </row>
    <row r="65" spans="1:9" s="19" customFormat="1" ht="15.95" customHeight="1" x14ac:dyDescent="0.25">
      <c r="A65" s="37"/>
      <c r="B65" s="38" t="s">
        <v>117</v>
      </c>
      <c r="C65" s="36"/>
      <c r="D65" s="169">
        <v>63.55639863694212</v>
      </c>
      <c r="E65" s="61">
        <v>100</v>
      </c>
      <c r="F65" s="62">
        <v>85.24241776143451</v>
      </c>
      <c r="G65" s="62">
        <v>30.747490385803118</v>
      </c>
      <c r="H65" s="62">
        <v>54.494927375631391</v>
      </c>
      <c r="I65" s="62">
        <v>14.75758223856549</v>
      </c>
    </row>
    <row r="66" spans="1:9" s="19" customFormat="1" ht="8.1" customHeight="1" x14ac:dyDescent="0.25">
      <c r="A66" s="63"/>
      <c r="B66" s="64"/>
      <c r="C66" s="142"/>
      <c r="D66" s="171"/>
      <c r="E66" s="67"/>
      <c r="F66" s="69"/>
      <c r="G66" s="69"/>
      <c r="H66" s="69"/>
      <c r="I66" s="69"/>
    </row>
    <row r="67" spans="1:9" s="19" customFormat="1" ht="8.1" customHeight="1" x14ac:dyDescent="0.25">
      <c r="A67" s="30"/>
      <c r="B67" s="70"/>
      <c r="C67" s="143"/>
      <c r="D67" s="172"/>
      <c r="E67" s="110"/>
      <c r="F67" s="71"/>
      <c r="G67" s="71"/>
      <c r="H67" s="71"/>
      <c r="I67" s="71"/>
    </row>
    <row r="68" spans="1:9" s="19" customFormat="1" ht="15.95" customHeight="1" x14ac:dyDescent="0.25">
      <c r="A68" s="33" t="s">
        <v>62</v>
      </c>
      <c r="B68" s="34"/>
      <c r="C68" s="35"/>
      <c r="D68" s="169"/>
      <c r="E68" s="61"/>
      <c r="F68" s="62"/>
      <c r="G68" s="62"/>
      <c r="H68" s="62"/>
      <c r="I68" s="62"/>
    </row>
    <row r="69" spans="1:9" s="19" customFormat="1" ht="15.95" customHeight="1" x14ac:dyDescent="0.25">
      <c r="A69" s="37"/>
      <c r="B69" s="38" t="s">
        <v>129</v>
      </c>
      <c r="C69" s="35"/>
      <c r="D69" s="169">
        <v>14022.18848208951</v>
      </c>
      <c r="E69" s="61">
        <v>100</v>
      </c>
      <c r="F69" s="62">
        <v>84.567511269741303</v>
      </c>
      <c r="G69" s="62">
        <v>51.594531679791849</v>
      </c>
      <c r="H69" s="62">
        <v>32.972979589948572</v>
      </c>
      <c r="I69" s="62">
        <v>15.432488730258695</v>
      </c>
    </row>
    <row r="70" spans="1:9" s="19" customFormat="1" ht="15.95" customHeight="1" x14ac:dyDescent="0.25">
      <c r="A70" s="37"/>
      <c r="B70" s="38" t="s">
        <v>130</v>
      </c>
      <c r="C70" s="35"/>
      <c r="D70" s="169">
        <v>22638.552665570005</v>
      </c>
      <c r="E70" s="61">
        <v>100</v>
      </c>
      <c r="F70" s="62">
        <v>85.119411659407575</v>
      </c>
      <c r="G70" s="62">
        <v>52.4195093689641</v>
      </c>
      <c r="H70" s="62">
        <v>32.699902290444342</v>
      </c>
      <c r="I70" s="62">
        <v>14.88058834059243</v>
      </c>
    </row>
    <row r="71" spans="1:9" s="19" customFormat="1" ht="15.95" customHeight="1" x14ac:dyDescent="0.25">
      <c r="A71" s="37"/>
      <c r="B71" s="38" t="s">
        <v>131</v>
      </c>
      <c r="C71" s="35"/>
      <c r="D71" s="169">
        <v>23297.164324564757</v>
      </c>
      <c r="E71" s="61">
        <v>100</v>
      </c>
      <c r="F71" s="62">
        <v>85.327875803440406</v>
      </c>
      <c r="G71" s="62">
        <v>51.194448020304932</v>
      </c>
      <c r="H71" s="62">
        <v>34.13342778313578</v>
      </c>
      <c r="I71" s="62">
        <v>14.672124196559594</v>
      </c>
    </row>
    <row r="72" spans="1:9" s="19" customFormat="1" ht="15.95" customHeight="1" x14ac:dyDescent="0.25">
      <c r="A72" s="37"/>
      <c r="B72" s="38" t="s">
        <v>132</v>
      </c>
      <c r="C72" s="35"/>
      <c r="D72" s="169">
        <v>23341.695245871048</v>
      </c>
      <c r="E72" s="61">
        <v>100</v>
      </c>
      <c r="F72" s="62">
        <v>85.51123899109362</v>
      </c>
      <c r="G72" s="62">
        <v>50.612833038455506</v>
      </c>
      <c r="H72" s="62">
        <v>34.898405952636843</v>
      </c>
      <c r="I72" s="62">
        <v>14.48876100890638</v>
      </c>
    </row>
    <row r="73" spans="1:9" s="19" customFormat="1" ht="15.95" customHeight="1" x14ac:dyDescent="0.25">
      <c r="A73" s="37"/>
      <c r="B73" s="38" t="s">
        <v>133</v>
      </c>
      <c r="C73" s="35"/>
      <c r="D73" s="169">
        <v>22655.862326944512</v>
      </c>
      <c r="E73" s="61">
        <v>100</v>
      </c>
      <c r="F73" s="62">
        <v>85.565003474922179</v>
      </c>
      <c r="G73" s="62">
        <v>51.597381160116313</v>
      </c>
      <c r="H73" s="62">
        <v>33.967622314806292</v>
      </c>
      <c r="I73" s="62">
        <v>14.434996525077826</v>
      </c>
    </row>
    <row r="74" spans="1:9" s="19" customFormat="1" ht="15.95" customHeight="1" x14ac:dyDescent="0.25">
      <c r="A74" s="37"/>
      <c r="B74" s="38" t="s">
        <v>134</v>
      </c>
      <c r="C74" s="35"/>
      <c r="D74" s="169">
        <v>23059.879654688022</v>
      </c>
      <c r="E74" s="61">
        <v>100</v>
      </c>
      <c r="F74" s="62">
        <v>85.316028271617355</v>
      </c>
      <c r="G74" s="62">
        <v>51.598954449455931</v>
      </c>
      <c r="H74" s="62">
        <v>33.717073822161915</v>
      </c>
      <c r="I74" s="62">
        <v>14.683971728382648</v>
      </c>
    </row>
    <row r="75" spans="1:9" s="19" customFormat="1" ht="15.95" customHeight="1" x14ac:dyDescent="0.25">
      <c r="A75" s="37"/>
      <c r="B75" s="38" t="s">
        <v>135</v>
      </c>
      <c r="C75" s="35"/>
      <c r="D75" s="169">
        <v>23160.896667806493</v>
      </c>
      <c r="E75" s="61">
        <v>100</v>
      </c>
      <c r="F75" s="62">
        <v>85.00544847718092</v>
      </c>
      <c r="G75" s="62">
        <v>52.095958509337876</v>
      </c>
      <c r="H75" s="62">
        <v>32.909489967842283</v>
      </c>
      <c r="I75" s="62">
        <v>14.994551522819078</v>
      </c>
    </row>
    <row r="76" spans="1:9" s="19" customFormat="1" ht="15.95" customHeight="1" x14ac:dyDescent="0.25">
      <c r="A76" s="37"/>
      <c r="B76" s="38" t="s">
        <v>136</v>
      </c>
      <c r="C76" s="35"/>
      <c r="D76" s="169">
        <v>23846.49731831811</v>
      </c>
      <c r="E76" s="61">
        <v>100</v>
      </c>
      <c r="F76" s="62">
        <v>84.8194605067239</v>
      </c>
      <c r="G76" s="62">
        <v>50.601756630566442</v>
      </c>
      <c r="H76" s="62">
        <v>34.217703876158708</v>
      </c>
      <c r="I76" s="62">
        <v>15.180539493276104</v>
      </c>
    </row>
    <row r="77" spans="1:9" s="19" customFormat="1" ht="15.95" customHeight="1" x14ac:dyDescent="0.25">
      <c r="A77" s="37"/>
      <c r="B77" s="38" t="s">
        <v>192</v>
      </c>
      <c r="C77" s="35"/>
      <c r="D77" s="169">
        <v>22647.682792061063</v>
      </c>
      <c r="E77" s="61">
        <v>100</v>
      </c>
      <c r="F77" s="62">
        <v>84.921380912198003</v>
      </c>
      <c r="G77" s="62">
        <v>51.563094826079428</v>
      </c>
      <c r="H77" s="62">
        <v>33.358286086121353</v>
      </c>
      <c r="I77" s="62">
        <v>15.078619087801998</v>
      </c>
    </row>
    <row r="78" spans="1:9" s="19" customFormat="1" ht="15.95" customHeight="1" x14ac:dyDescent="0.25">
      <c r="A78" s="37"/>
      <c r="B78" s="38" t="s">
        <v>194</v>
      </c>
      <c r="C78" s="35"/>
      <c r="D78" s="169">
        <v>22578.67948914873</v>
      </c>
      <c r="E78" s="61">
        <v>100</v>
      </c>
      <c r="F78" s="62">
        <v>84.100210296736421</v>
      </c>
      <c r="G78" s="62">
        <v>52.059192482753211</v>
      </c>
      <c r="H78" s="62">
        <v>32.041017813984574</v>
      </c>
      <c r="I78" s="62">
        <v>15.899789703263583</v>
      </c>
    </row>
    <row r="79" spans="1:9" s="19" customFormat="1" ht="15.95" customHeight="1" x14ac:dyDescent="0.25">
      <c r="A79" s="37"/>
      <c r="B79" s="38" t="s">
        <v>205</v>
      </c>
      <c r="C79" s="35"/>
      <c r="D79" s="169">
        <f t="shared" ref="D79:I79" si="0">D$9</f>
        <v>21002.503493123815</v>
      </c>
      <c r="E79" s="61">
        <f t="shared" si="0"/>
        <v>100</v>
      </c>
      <c r="F79" s="62">
        <f t="shared" si="0"/>
        <v>83.093519177332169</v>
      </c>
      <c r="G79" s="62">
        <f t="shared" si="0"/>
        <v>49.216292687690725</v>
      </c>
      <c r="H79" s="62">
        <f t="shared" si="0"/>
        <v>33.877226489639455</v>
      </c>
      <c r="I79" s="62">
        <f t="shared" si="0"/>
        <v>16.906480822667827</v>
      </c>
    </row>
    <row r="80" spans="1:9" ht="5.0999999999999996" customHeight="1" x14ac:dyDescent="0.25">
      <c r="A80" s="39"/>
      <c r="B80" s="125"/>
      <c r="C80" s="41"/>
      <c r="D80" s="181"/>
      <c r="E80" s="117"/>
      <c r="F80" s="118"/>
      <c r="G80" s="118"/>
      <c r="H80" s="118"/>
      <c r="I80" s="118"/>
    </row>
  </sheetData>
  <mergeCells count="8">
    <mergeCell ref="A1:I1"/>
    <mergeCell ref="A3:I3"/>
    <mergeCell ref="A5:C7"/>
    <mergeCell ref="E5:E7"/>
    <mergeCell ref="F6:F7"/>
    <mergeCell ref="I6:I7"/>
    <mergeCell ref="A2:I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E603-15A4-48E0-B08A-A6E96B5308EA}">
  <sheetPr codeName="工作表5"/>
  <dimension ref="A1:I84"/>
  <sheetViews>
    <sheetView showGridLines="0" view="pageBreakPreview" zoomScale="110" zoomScaleNormal="100" zoomScaleSheetLayoutView="110" workbookViewId="0">
      <selection sqref="A1:I1"/>
    </sheetView>
  </sheetViews>
  <sheetFormatPr defaultColWidth="9" defaultRowHeight="11.1" customHeight="1" x14ac:dyDescent="0.25"/>
  <cols>
    <col min="1" max="1" width="1.375" style="18" customWidth="1"/>
    <col min="2" max="2" width="14.25" style="44" customWidth="1"/>
    <col min="3" max="3" width="2.25" style="48" customWidth="1"/>
    <col min="4" max="4" width="12.25" style="46" customWidth="1"/>
    <col min="5" max="9" width="12.25" style="47" customWidth="1"/>
    <col min="10" max="16384" width="9" style="46"/>
  </cols>
  <sheetData>
    <row r="1" spans="1:9" s="14" customFormat="1" ht="22.15" customHeight="1" x14ac:dyDescent="0.25">
      <c r="A1" s="255" t="s">
        <v>259</v>
      </c>
      <c r="B1" s="256"/>
      <c r="C1" s="256"/>
      <c r="D1" s="256"/>
      <c r="E1" s="256"/>
      <c r="F1" s="256"/>
      <c r="G1" s="256"/>
      <c r="H1" s="256"/>
      <c r="I1" s="256"/>
    </row>
    <row r="2" spans="1:9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</row>
    <row r="3" spans="1:9" s="19" customFormat="1" ht="13.5" customHeight="1" x14ac:dyDescent="0.25">
      <c r="A3" s="257" t="s">
        <v>104</v>
      </c>
      <c r="B3" s="257"/>
      <c r="C3" s="257"/>
      <c r="D3" s="257"/>
      <c r="E3" s="257"/>
      <c r="F3" s="257"/>
      <c r="G3" s="257"/>
      <c r="H3" s="257"/>
      <c r="I3" s="257"/>
    </row>
    <row r="4" spans="1:9" s="122" customFormat="1" ht="13.5" x14ac:dyDescent="0.25">
      <c r="A4" s="24"/>
      <c r="B4" s="24"/>
      <c r="C4" s="24"/>
      <c r="D4" s="24"/>
      <c r="E4" s="120"/>
      <c r="F4" s="120"/>
      <c r="G4" s="120"/>
      <c r="H4" s="120"/>
      <c r="I4" s="27" t="s">
        <v>119</v>
      </c>
    </row>
    <row r="5" spans="1:9" s="19" customFormat="1" ht="9.75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176"/>
      <c r="G5" s="51"/>
      <c r="H5" s="51"/>
      <c r="I5" s="51"/>
    </row>
    <row r="6" spans="1:9" s="19" customFormat="1" ht="9.75" customHeight="1" x14ac:dyDescent="0.25">
      <c r="A6" s="260"/>
      <c r="B6" s="260"/>
      <c r="C6" s="261"/>
      <c r="D6" s="261"/>
      <c r="E6" s="265"/>
      <c r="F6" s="269" t="s">
        <v>86</v>
      </c>
      <c r="G6" s="53"/>
      <c r="H6" s="52"/>
      <c r="I6" s="277" t="s">
        <v>183</v>
      </c>
    </row>
    <row r="7" spans="1:9" s="19" customFormat="1" ht="25.5" customHeight="1" x14ac:dyDescent="0.25">
      <c r="A7" s="262"/>
      <c r="B7" s="262"/>
      <c r="C7" s="263"/>
      <c r="D7" s="263"/>
      <c r="E7" s="266"/>
      <c r="F7" s="266"/>
      <c r="G7" s="136" t="s">
        <v>77</v>
      </c>
      <c r="H7" s="137" t="s">
        <v>78</v>
      </c>
      <c r="I7" s="266"/>
    </row>
    <row r="8" spans="1:9" s="19" customFormat="1" ht="4.5" customHeight="1" x14ac:dyDescent="0.25">
      <c r="A8" s="30"/>
      <c r="B8" s="31"/>
      <c r="C8" s="32"/>
      <c r="D8" s="77"/>
      <c r="E8" s="80"/>
      <c r="F8" s="177"/>
      <c r="G8" s="81"/>
      <c r="H8" s="81"/>
      <c r="I8" s="81"/>
    </row>
    <row r="9" spans="1:9" s="19" customFormat="1" ht="12.6" customHeight="1" x14ac:dyDescent="0.25">
      <c r="A9" s="33" t="s">
        <v>22</v>
      </c>
      <c r="B9" s="34"/>
      <c r="C9" s="35"/>
      <c r="D9" s="168">
        <v>2397.0525157643883</v>
      </c>
      <c r="E9" s="57">
        <v>100</v>
      </c>
      <c r="F9" s="58">
        <v>83.51370328559446</v>
      </c>
      <c r="G9" s="58">
        <v>51.156715907130987</v>
      </c>
      <c r="H9" s="58">
        <v>32.356987378463415</v>
      </c>
      <c r="I9" s="58">
        <v>16.48629671440554</v>
      </c>
    </row>
    <row r="10" spans="1:9" s="19" customFormat="1" ht="12.6" customHeight="1" x14ac:dyDescent="0.25">
      <c r="A10" s="33" t="s">
        <v>23</v>
      </c>
      <c r="B10" s="34"/>
      <c r="C10" s="36" t="s">
        <v>19</v>
      </c>
      <c r="D10" s="169"/>
      <c r="E10" s="61"/>
      <c r="F10" s="178"/>
      <c r="G10" s="62"/>
      <c r="H10" s="62"/>
      <c r="I10" s="62"/>
    </row>
    <row r="11" spans="1:9" s="19" customFormat="1" ht="12.6" customHeight="1" x14ac:dyDescent="0.25">
      <c r="A11" s="37"/>
      <c r="B11" s="38" t="s">
        <v>24</v>
      </c>
      <c r="C11" s="35"/>
      <c r="D11" s="169">
        <v>358.92525606393411</v>
      </c>
      <c r="E11" s="61">
        <v>100</v>
      </c>
      <c r="F11" s="62">
        <v>58.976815496538457</v>
      </c>
      <c r="G11" s="62">
        <v>34.277928073528251</v>
      </c>
      <c r="H11" s="62">
        <v>24.698887423010206</v>
      </c>
      <c r="I11" s="62">
        <v>41.023184503461543</v>
      </c>
    </row>
    <row r="12" spans="1:9" s="19" customFormat="1" ht="12.6" customHeight="1" x14ac:dyDescent="0.25">
      <c r="A12" s="37"/>
      <c r="B12" s="38" t="s">
        <v>25</v>
      </c>
      <c r="C12" s="35"/>
      <c r="D12" s="169">
        <v>275.83628292985327</v>
      </c>
      <c r="E12" s="61">
        <v>100</v>
      </c>
      <c r="F12" s="62">
        <v>87.020348484389416</v>
      </c>
      <c r="G12" s="62">
        <v>57.232619586617204</v>
      </c>
      <c r="H12" s="62">
        <v>29.787728897772222</v>
      </c>
      <c r="I12" s="62">
        <v>12.979651515610589</v>
      </c>
    </row>
    <row r="13" spans="1:9" s="19" customFormat="1" ht="12.6" customHeight="1" x14ac:dyDescent="0.25">
      <c r="A13" s="37"/>
      <c r="B13" s="38" t="s">
        <v>26</v>
      </c>
      <c r="C13" s="35"/>
      <c r="D13" s="169">
        <v>256.04677057324801</v>
      </c>
      <c r="E13" s="61">
        <v>100</v>
      </c>
      <c r="F13" s="62">
        <v>87.294407681058374</v>
      </c>
      <c r="G13" s="62">
        <v>52.89584872153489</v>
      </c>
      <c r="H13" s="62">
        <v>34.398558959523527</v>
      </c>
      <c r="I13" s="62">
        <v>12.70559231894163</v>
      </c>
    </row>
    <row r="14" spans="1:9" s="19" customFormat="1" ht="12.6" customHeight="1" x14ac:dyDescent="0.25">
      <c r="A14" s="37"/>
      <c r="B14" s="38" t="s">
        <v>27</v>
      </c>
      <c r="C14" s="35"/>
      <c r="D14" s="169">
        <v>338.64280970256232</v>
      </c>
      <c r="E14" s="61">
        <v>100</v>
      </c>
      <c r="F14" s="62">
        <v>95.641558711107095</v>
      </c>
      <c r="G14" s="62">
        <v>57.69512624587518</v>
      </c>
      <c r="H14" s="62">
        <v>37.946432465231908</v>
      </c>
      <c r="I14" s="62">
        <v>4.3584412888929061</v>
      </c>
    </row>
    <row r="15" spans="1:9" s="19" customFormat="1" ht="12.6" customHeight="1" x14ac:dyDescent="0.25">
      <c r="A15" s="37"/>
      <c r="B15" s="38" t="s">
        <v>28</v>
      </c>
      <c r="C15" s="35"/>
      <c r="D15" s="169">
        <v>189.19620864048417</v>
      </c>
      <c r="E15" s="61">
        <v>100</v>
      </c>
      <c r="F15" s="62">
        <v>94.467060045755332</v>
      </c>
      <c r="G15" s="62">
        <v>55.3496363532795</v>
      </c>
      <c r="H15" s="62">
        <v>39.117423692475846</v>
      </c>
      <c r="I15" s="62">
        <v>5.5329399542446742</v>
      </c>
    </row>
    <row r="16" spans="1:9" s="19" customFormat="1" ht="12.6" customHeight="1" x14ac:dyDescent="0.25">
      <c r="A16" s="37"/>
      <c r="B16" s="38" t="s">
        <v>29</v>
      </c>
      <c r="C16" s="35"/>
      <c r="D16" s="169">
        <v>296.90145191751083</v>
      </c>
      <c r="E16" s="61">
        <v>100</v>
      </c>
      <c r="F16" s="62">
        <v>95.819355979073094</v>
      </c>
      <c r="G16" s="62">
        <v>51.919128643667207</v>
      </c>
      <c r="H16" s="62">
        <v>43.90022733540583</v>
      </c>
      <c r="I16" s="62">
        <v>4.1806440209269109</v>
      </c>
    </row>
    <row r="17" spans="1:9" s="19" customFormat="1" ht="12.6" customHeight="1" x14ac:dyDescent="0.25">
      <c r="A17" s="37"/>
      <c r="B17" s="38" t="s">
        <v>30</v>
      </c>
      <c r="C17" s="35"/>
      <c r="D17" s="169">
        <v>39.541123649251745</v>
      </c>
      <c r="E17" s="61">
        <v>100</v>
      </c>
      <c r="F17" s="62">
        <v>90.2564795892836</v>
      </c>
      <c r="G17" s="62">
        <v>47.053221267932081</v>
      </c>
      <c r="H17" s="62">
        <v>43.203258321351484</v>
      </c>
      <c r="I17" s="62">
        <v>9.743520410716398</v>
      </c>
    </row>
    <row r="18" spans="1:9" s="19" customFormat="1" ht="12.6" customHeight="1" x14ac:dyDescent="0.25">
      <c r="A18" s="37"/>
      <c r="B18" s="38" t="s">
        <v>31</v>
      </c>
      <c r="C18" s="35"/>
      <c r="D18" s="169">
        <v>72.445393822624624</v>
      </c>
      <c r="E18" s="61">
        <v>100</v>
      </c>
      <c r="F18" s="62">
        <v>59.502119762910581</v>
      </c>
      <c r="G18" s="62">
        <v>40.631933436899835</v>
      </c>
      <c r="H18" s="62">
        <v>18.870186326010828</v>
      </c>
      <c r="I18" s="62">
        <v>40.497880237089419</v>
      </c>
    </row>
    <row r="19" spans="1:9" s="19" customFormat="1" ht="12.6" customHeight="1" x14ac:dyDescent="0.25">
      <c r="A19" s="37"/>
      <c r="B19" s="38" t="s">
        <v>32</v>
      </c>
      <c r="C19" s="35"/>
      <c r="D19" s="169">
        <v>46.567542824999073</v>
      </c>
      <c r="E19" s="61">
        <v>100</v>
      </c>
      <c r="F19" s="62">
        <v>88.451500185882608</v>
      </c>
      <c r="G19" s="62">
        <v>54.068705892034274</v>
      </c>
      <c r="H19" s="62">
        <v>34.382794293848292</v>
      </c>
      <c r="I19" s="62">
        <v>11.548499814117397</v>
      </c>
    </row>
    <row r="20" spans="1:9" s="19" customFormat="1" ht="12.6" customHeight="1" x14ac:dyDescent="0.25">
      <c r="A20" s="37"/>
      <c r="B20" s="38" t="s">
        <v>33</v>
      </c>
      <c r="C20" s="35"/>
      <c r="D20" s="169">
        <v>103.87589398939863</v>
      </c>
      <c r="E20" s="61">
        <v>100</v>
      </c>
      <c r="F20" s="62">
        <v>64.546814330220712</v>
      </c>
      <c r="G20" s="62">
        <v>24.178122752496051</v>
      </c>
      <c r="H20" s="62">
        <v>40.36869157772464</v>
      </c>
      <c r="I20" s="62">
        <v>35.453185669779295</v>
      </c>
    </row>
    <row r="21" spans="1:9" s="19" customFormat="1" ht="12.6" customHeight="1" x14ac:dyDescent="0.25">
      <c r="A21" s="37"/>
      <c r="B21" s="38" t="s">
        <v>34</v>
      </c>
      <c r="C21" s="35"/>
      <c r="D21" s="169">
        <v>40.240422114662145</v>
      </c>
      <c r="E21" s="61">
        <v>100</v>
      </c>
      <c r="F21" s="62">
        <v>84.903665102770105</v>
      </c>
      <c r="G21" s="62">
        <v>63.083784499548329</v>
      </c>
      <c r="H21" s="62">
        <v>21.819880603221851</v>
      </c>
      <c r="I21" s="62">
        <v>15.096334897229893</v>
      </c>
    </row>
    <row r="22" spans="1:9" s="19" customFormat="1" ht="12.6" customHeight="1" x14ac:dyDescent="0.25">
      <c r="A22" s="37"/>
      <c r="B22" s="38" t="s">
        <v>35</v>
      </c>
      <c r="C22" s="35"/>
      <c r="D22" s="169">
        <v>66.484474178807403</v>
      </c>
      <c r="E22" s="61">
        <v>100</v>
      </c>
      <c r="F22" s="62">
        <v>85.691770983810528</v>
      </c>
      <c r="G22" s="62">
        <v>60.639854587236158</v>
      </c>
      <c r="H22" s="62">
        <v>25.051916396574317</v>
      </c>
      <c r="I22" s="62">
        <v>14.308229016189477</v>
      </c>
    </row>
    <row r="23" spans="1:9" s="19" customFormat="1" ht="12.6" customHeight="1" x14ac:dyDescent="0.25">
      <c r="A23" s="37"/>
      <c r="B23" s="38" t="s">
        <v>36</v>
      </c>
      <c r="C23" s="35"/>
      <c r="D23" s="169">
        <v>41.867498052637352</v>
      </c>
      <c r="E23" s="61">
        <v>100</v>
      </c>
      <c r="F23" s="62">
        <v>68.120634565703824</v>
      </c>
      <c r="G23" s="62">
        <v>51.902284224065532</v>
      </c>
      <c r="H23" s="62">
        <v>16.218350341638256</v>
      </c>
      <c r="I23" s="62">
        <v>31.879365434296172</v>
      </c>
    </row>
    <row r="24" spans="1:9" s="19" customFormat="1" ht="12.6" customHeight="1" x14ac:dyDescent="0.25">
      <c r="A24" s="37"/>
      <c r="B24" s="38" t="s">
        <v>37</v>
      </c>
      <c r="C24" s="35"/>
      <c r="D24" s="169">
        <v>70.483687527999265</v>
      </c>
      <c r="E24" s="61">
        <v>100</v>
      </c>
      <c r="F24" s="62">
        <v>84.423926295836338</v>
      </c>
      <c r="G24" s="62">
        <v>60.165675109920215</v>
      </c>
      <c r="H24" s="62">
        <v>24.258251185916095</v>
      </c>
      <c r="I24" s="62">
        <v>15.576073704163656</v>
      </c>
    </row>
    <row r="25" spans="1:9" s="19" customFormat="1" ht="12.6" customHeight="1" x14ac:dyDescent="0.25">
      <c r="A25" s="37"/>
      <c r="B25" s="38" t="s">
        <v>38</v>
      </c>
      <c r="C25" s="35"/>
      <c r="D25" s="169">
        <v>16.089096190145256</v>
      </c>
      <c r="E25" s="61">
        <v>100</v>
      </c>
      <c r="F25" s="62">
        <v>91.592482218478779</v>
      </c>
      <c r="G25" s="62">
        <v>79.532638033935527</v>
      </c>
      <c r="H25" s="62">
        <v>12.059844184543252</v>
      </c>
      <c r="I25" s="62">
        <v>8.4075177815212179</v>
      </c>
    </row>
    <row r="26" spans="1:9" s="19" customFormat="1" ht="12.6" customHeight="1" x14ac:dyDescent="0.25">
      <c r="A26" s="37"/>
      <c r="B26" s="38" t="s">
        <v>39</v>
      </c>
      <c r="C26" s="35"/>
      <c r="D26" s="169">
        <v>35.236381488679669</v>
      </c>
      <c r="E26" s="61">
        <v>100</v>
      </c>
      <c r="F26" s="62">
        <v>95.615518390552239</v>
      </c>
      <c r="G26" s="62">
        <v>76.122015520276278</v>
      </c>
      <c r="H26" s="62">
        <v>19.49350287027595</v>
      </c>
      <c r="I26" s="62">
        <v>4.3844816094477554</v>
      </c>
    </row>
    <row r="27" spans="1:9" s="19" customFormat="1" ht="12.6" customHeight="1" x14ac:dyDescent="0.25">
      <c r="A27" s="37"/>
      <c r="B27" s="38" t="s">
        <v>40</v>
      </c>
      <c r="C27" s="35"/>
      <c r="D27" s="169">
        <v>8.367681247698151</v>
      </c>
      <c r="E27" s="61">
        <v>100</v>
      </c>
      <c r="F27" s="62">
        <v>94.78757686620834</v>
      </c>
      <c r="G27" s="62">
        <v>80.783270355417287</v>
      </c>
      <c r="H27" s="62">
        <v>14.004306510791041</v>
      </c>
      <c r="I27" s="62">
        <v>5.212423133791666</v>
      </c>
    </row>
    <row r="28" spans="1:9" s="19" customFormat="1" ht="12.6" customHeight="1" x14ac:dyDescent="0.25">
      <c r="A28" s="37"/>
      <c r="B28" s="38" t="s">
        <v>41</v>
      </c>
      <c r="C28" s="35"/>
      <c r="D28" s="169">
        <v>38.268883711677532</v>
      </c>
      <c r="E28" s="61">
        <v>100</v>
      </c>
      <c r="F28" s="62">
        <v>64.809787406927654</v>
      </c>
      <c r="G28" s="62">
        <v>40.437412205813473</v>
      </c>
      <c r="H28" s="62">
        <v>24.372375201114171</v>
      </c>
      <c r="I28" s="62">
        <v>35.190212593072339</v>
      </c>
    </row>
    <row r="29" spans="1:9" s="19" customFormat="1" ht="12.6" customHeight="1" x14ac:dyDescent="0.25">
      <c r="A29" s="37"/>
      <c r="B29" s="38" t="s">
        <v>42</v>
      </c>
      <c r="C29" s="35"/>
      <c r="D29" s="169">
        <v>58.684689344403274</v>
      </c>
      <c r="E29" s="61">
        <v>100</v>
      </c>
      <c r="F29" s="62">
        <v>93.422024615404183</v>
      </c>
      <c r="G29" s="62">
        <v>71.219309492382493</v>
      </c>
      <c r="H29" s="62">
        <v>22.202715123021747</v>
      </c>
      <c r="I29" s="62">
        <v>6.5779753845958142</v>
      </c>
    </row>
    <row r="30" spans="1:9" s="19" customFormat="1" ht="12.6" customHeight="1" x14ac:dyDescent="0.25">
      <c r="A30" s="37"/>
      <c r="B30" s="38" t="s">
        <v>43</v>
      </c>
      <c r="C30" s="35"/>
      <c r="D30" s="169">
        <v>27.063926986395789</v>
      </c>
      <c r="E30" s="61">
        <v>100</v>
      </c>
      <c r="F30" s="62">
        <v>78.031694923671381</v>
      </c>
      <c r="G30" s="62">
        <v>45.236808436984106</v>
      </c>
      <c r="H30" s="62">
        <v>32.794886486687275</v>
      </c>
      <c r="I30" s="62">
        <v>21.968305076328612</v>
      </c>
    </row>
    <row r="31" spans="1:9" s="19" customFormat="1" ht="12.6" customHeight="1" x14ac:dyDescent="0.25">
      <c r="A31" s="37"/>
      <c r="B31" s="38" t="s">
        <v>44</v>
      </c>
      <c r="C31" s="35"/>
      <c r="D31" s="169">
        <v>15.908487817159463</v>
      </c>
      <c r="E31" s="61">
        <v>100</v>
      </c>
      <c r="F31" s="62">
        <v>99.677490666551421</v>
      </c>
      <c r="G31" s="62">
        <v>71.572419141639202</v>
      </c>
      <c r="H31" s="62">
        <v>28.105071524912169</v>
      </c>
      <c r="I31" s="62">
        <v>0.32250933344857907</v>
      </c>
    </row>
    <row r="32" spans="1:9" s="19" customFormat="1" ht="12.6" customHeight="1" x14ac:dyDescent="0.25">
      <c r="A32" s="37"/>
      <c r="B32" s="38" t="s">
        <v>45</v>
      </c>
      <c r="C32" s="35"/>
      <c r="D32" s="169">
        <v>0.37855299025396472</v>
      </c>
      <c r="E32" s="61">
        <v>100</v>
      </c>
      <c r="F32" s="62">
        <v>100</v>
      </c>
      <c r="G32" s="62">
        <v>56.974637258475909</v>
      </c>
      <c r="H32" s="62">
        <v>43.025362741524098</v>
      </c>
      <c r="I32" s="62">
        <v>0</v>
      </c>
    </row>
    <row r="33" spans="1:9" s="19" customFormat="1" ht="12.6" customHeight="1" x14ac:dyDescent="0.25">
      <c r="A33" s="37" t="s">
        <v>232</v>
      </c>
      <c r="B33" s="38"/>
      <c r="C33" s="36" t="s">
        <v>19</v>
      </c>
      <c r="D33" s="157"/>
      <c r="E33" s="158"/>
      <c r="F33" s="159"/>
      <c r="G33" s="159"/>
      <c r="H33" s="62"/>
      <c r="I33" s="62"/>
    </row>
    <row r="34" spans="1:9" s="19" customFormat="1" ht="12.6" customHeight="1" x14ac:dyDescent="0.25">
      <c r="A34" s="37"/>
      <c r="B34" s="38" t="s">
        <v>233</v>
      </c>
      <c r="C34" s="35"/>
      <c r="D34" s="169">
        <v>1715.5487798275933</v>
      </c>
      <c r="E34" s="61">
        <v>100</v>
      </c>
      <c r="F34" s="62">
        <v>85.239855983564524</v>
      </c>
      <c r="G34" s="62">
        <v>50.746854364109829</v>
      </c>
      <c r="H34" s="62">
        <v>34.493001619454681</v>
      </c>
      <c r="I34" s="62">
        <v>14.760144016435481</v>
      </c>
    </row>
    <row r="35" spans="1:9" s="19" customFormat="1" ht="12.6" customHeight="1" x14ac:dyDescent="0.25">
      <c r="A35" s="37"/>
      <c r="B35" s="38" t="s">
        <v>234</v>
      </c>
      <c r="C35" s="35"/>
      <c r="D35" s="169">
        <v>681.50373593679171</v>
      </c>
      <c r="E35" s="61">
        <v>100</v>
      </c>
      <c r="F35" s="62">
        <v>79.168460554491716</v>
      </c>
      <c r="G35" s="62">
        <v>52.188460023781801</v>
      </c>
      <c r="H35" s="62">
        <v>26.980000530710377</v>
      </c>
      <c r="I35" s="62">
        <v>20.831539445508287</v>
      </c>
    </row>
    <row r="36" spans="1:9" s="19" customFormat="1" ht="12.6" customHeight="1" x14ac:dyDescent="0.25">
      <c r="A36" s="33" t="s">
        <v>46</v>
      </c>
      <c r="B36" s="34"/>
      <c r="C36" s="36" t="s">
        <v>19</v>
      </c>
      <c r="D36" s="169"/>
      <c r="E36" s="61"/>
      <c r="F36" s="178"/>
      <c r="G36" s="62"/>
      <c r="H36" s="62"/>
      <c r="I36" s="62"/>
    </row>
    <row r="37" spans="1:9" s="19" customFormat="1" ht="12.6" customHeight="1" x14ac:dyDescent="0.25">
      <c r="A37" s="37"/>
      <c r="B37" s="38" t="s">
        <v>47</v>
      </c>
      <c r="C37" s="35"/>
      <c r="D37" s="169">
        <v>1233.2990258079556</v>
      </c>
      <c r="E37" s="61">
        <v>100</v>
      </c>
      <c r="F37" s="62">
        <v>87.831103471012639</v>
      </c>
      <c r="G37" s="62">
        <v>53.534075789383415</v>
      </c>
      <c r="H37" s="62">
        <v>34.297027681628684</v>
      </c>
      <c r="I37" s="62">
        <v>12.168896528987355</v>
      </c>
    </row>
    <row r="38" spans="1:9" s="19" customFormat="1" ht="12.6" customHeight="1" x14ac:dyDescent="0.25">
      <c r="A38" s="37"/>
      <c r="B38" s="38" t="s">
        <v>48</v>
      </c>
      <c r="C38" s="35"/>
      <c r="D38" s="169">
        <v>1163.7534899564364</v>
      </c>
      <c r="E38" s="61">
        <v>100</v>
      </c>
      <c r="F38" s="62">
        <v>78.938296647803313</v>
      </c>
      <c r="G38" s="62">
        <v>48.637285759697356</v>
      </c>
      <c r="H38" s="62">
        <v>30.301010888105932</v>
      </c>
      <c r="I38" s="62">
        <v>21.061703352196691</v>
      </c>
    </row>
    <row r="39" spans="1:9" s="19" customFormat="1" ht="12.6" customHeight="1" x14ac:dyDescent="0.25">
      <c r="A39" s="37" t="s">
        <v>49</v>
      </c>
      <c r="B39" s="38"/>
      <c r="C39" s="36" t="s">
        <v>19</v>
      </c>
      <c r="D39" s="169"/>
      <c r="E39" s="61"/>
      <c r="F39" s="178"/>
      <c r="G39" s="62"/>
      <c r="H39" s="62"/>
      <c r="I39" s="62"/>
    </row>
    <row r="40" spans="1:9" s="19" customFormat="1" ht="12.6" customHeight="1" x14ac:dyDescent="0.25">
      <c r="A40" s="37"/>
      <c r="B40" s="38" t="s">
        <v>107</v>
      </c>
      <c r="C40" s="36"/>
      <c r="D40" s="169">
        <v>930.26440707395705</v>
      </c>
      <c r="E40" s="61">
        <v>100</v>
      </c>
      <c r="F40" s="62">
        <v>84.961039326474946</v>
      </c>
      <c r="G40" s="62">
        <v>46.292695869709917</v>
      </c>
      <c r="H40" s="62">
        <v>38.66834345676498</v>
      </c>
      <c r="I40" s="62">
        <v>15.03896067352505</v>
      </c>
    </row>
    <row r="41" spans="1:9" s="19" customFormat="1" ht="12.6" customHeight="1" x14ac:dyDescent="0.25">
      <c r="A41" s="37"/>
      <c r="B41" s="38" t="s">
        <v>108</v>
      </c>
      <c r="C41" s="36"/>
      <c r="D41" s="169">
        <v>487.05963363521755</v>
      </c>
      <c r="E41" s="61">
        <v>100</v>
      </c>
      <c r="F41" s="62">
        <v>83.937742096152576</v>
      </c>
      <c r="G41" s="62">
        <v>52.863234191045031</v>
      </c>
      <c r="H41" s="62">
        <v>31.074507905107652</v>
      </c>
      <c r="I41" s="62">
        <v>16.062257903847421</v>
      </c>
    </row>
    <row r="42" spans="1:9" s="19" customFormat="1" ht="12.6" customHeight="1" x14ac:dyDescent="0.25">
      <c r="A42" s="37"/>
      <c r="B42" s="38" t="s">
        <v>109</v>
      </c>
      <c r="C42" s="36"/>
      <c r="D42" s="169">
        <v>925.29020803495348</v>
      </c>
      <c r="E42" s="61">
        <v>100</v>
      </c>
      <c r="F42" s="62">
        <v>81.66662840319637</v>
      </c>
      <c r="G42" s="62">
        <v>55.444424487405293</v>
      </c>
      <c r="H42" s="62">
        <v>26.222203915791233</v>
      </c>
      <c r="I42" s="62">
        <v>18.333371596803627</v>
      </c>
    </row>
    <row r="43" spans="1:9" s="19" customFormat="1" ht="12.6" customHeight="1" x14ac:dyDescent="0.25">
      <c r="A43" s="37"/>
      <c r="B43" s="38" t="s">
        <v>110</v>
      </c>
      <c r="C43" s="36"/>
      <c r="D43" s="169">
        <v>9.0530245903632327</v>
      </c>
      <c r="E43" s="61">
        <v>100</v>
      </c>
      <c r="F43" s="62">
        <v>74.234179447681711</v>
      </c>
      <c r="G43" s="62">
        <v>42.551721703158698</v>
      </c>
      <c r="H43" s="62">
        <v>31.682457744523013</v>
      </c>
      <c r="I43" s="62">
        <v>25.765820552318292</v>
      </c>
    </row>
    <row r="44" spans="1:9" s="19" customFormat="1" ht="12.6" customHeight="1" x14ac:dyDescent="0.25">
      <c r="A44" s="37"/>
      <c r="B44" s="38" t="s">
        <v>111</v>
      </c>
      <c r="C44" s="36"/>
      <c r="D44" s="169">
        <v>21.024301468577875</v>
      </c>
      <c r="E44" s="61">
        <v>100</v>
      </c>
      <c r="F44" s="62">
        <v>78.547383612721077</v>
      </c>
      <c r="G44" s="62">
        <v>19.49003981098576</v>
      </c>
      <c r="H44" s="62">
        <v>59.057343801735321</v>
      </c>
      <c r="I44" s="62">
        <v>21.452616387278919</v>
      </c>
    </row>
    <row r="45" spans="1:9" s="19" customFormat="1" ht="12.6" customHeight="1" x14ac:dyDescent="0.25">
      <c r="A45" s="37"/>
      <c r="B45" s="38" t="s">
        <v>112</v>
      </c>
      <c r="C45" s="36"/>
      <c r="D45" s="169">
        <v>9.4559298968819832</v>
      </c>
      <c r="E45" s="61">
        <v>100</v>
      </c>
      <c r="F45" s="62">
        <v>93.965941847803606</v>
      </c>
      <c r="G45" s="62">
        <v>52.270321262556742</v>
      </c>
      <c r="H45" s="62">
        <v>41.695620585246843</v>
      </c>
      <c r="I45" s="62">
        <v>6.0340581521963941</v>
      </c>
    </row>
    <row r="46" spans="1:9" s="19" customFormat="1" ht="12.6" customHeight="1" x14ac:dyDescent="0.25">
      <c r="A46" s="37"/>
      <c r="B46" s="38" t="s">
        <v>113</v>
      </c>
      <c r="C46" s="36"/>
      <c r="D46" s="169">
        <v>6.7517030478909277</v>
      </c>
      <c r="E46" s="61">
        <v>100</v>
      </c>
      <c r="F46" s="62">
        <v>100</v>
      </c>
      <c r="G46" s="62">
        <v>67.111502186688909</v>
      </c>
      <c r="H46" s="62">
        <v>32.888497813311105</v>
      </c>
      <c r="I46" s="62">
        <v>0</v>
      </c>
    </row>
    <row r="47" spans="1:9" s="19" customFormat="1" ht="12.6" customHeight="1" x14ac:dyDescent="0.25">
      <c r="A47" s="37"/>
      <c r="B47" s="38" t="s">
        <v>114</v>
      </c>
      <c r="C47" s="36"/>
      <c r="D47" s="169">
        <v>8.1533080165421836</v>
      </c>
      <c r="E47" s="61">
        <v>100</v>
      </c>
      <c r="F47" s="62">
        <v>100</v>
      </c>
      <c r="G47" s="62">
        <v>94.291673713140611</v>
      </c>
      <c r="H47" s="62">
        <v>5.7083262868593803</v>
      </c>
      <c r="I47" s="62">
        <v>0</v>
      </c>
    </row>
    <row r="48" spans="1:9" s="19" customFormat="1" ht="4.5" customHeight="1" x14ac:dyDescent="0.25">
      <c r="A48" s="39"/>
      <c r="B48" s="40"/>
      <c r="C48" s="41"/>
      <c r="D48" s="170"/>
      <c r="E48" s="83"/>
      <c r="F48" s="179"/>
      <c r="G48" s="84"/>
      <c r="H48" s="84"/>
      <c r="I48" s="84"/>
    </row>
    <row r="49" spans="1:9" s="19" customFormat="1" ht="15.95" customHeight="1" x14ac:dyDescent="0.25">
      <c r="A49" s="33" t="s">
        <v>50</v>
      </c>
      <c r="B49" s="34"/>
      <c r="C49" s="36" t="s">
        <v>19</v>
      </c>
      <c r="D49" s="169"/>
      <c r="E49" s="61"/>
      <c r="F49" s="178"/>
      <c r="G49" s="62"/>
      <c r="H49" s="62"/>
      <c r="I49" s="62"/>
    </row>
    <row r="50" spans="1:9" s="19" customFormat="1" ht="15.95" customHeight="1" x14ac:dyDescent="0.25">
      <c r="A50" s="37"/>
      <c r="B50" s="38" t="s">
        <v>3</v>
      </c>
      <c r="C50" s="35"/>
      <c r="D50" s="169">
        <v>4.8803517346025673</v>
      </c>
      <c r="E50" s="61">
        <v>100</v>
      </c>
      <c r="F50" s="62">
        <v>100</v>
      </c>
      <c r="G50" s="62">
        <v>95.897694565626963</v>
      </c>
      <c r="H50" s="62">
        <v>4.1023054343730321</v>
      </c>
      <c r="I50" s="62">
        <v>0</v>
      </c>
    </row>
    <row r="51" spans="1:9" s="19" customFormat="1" ht="15.95" customHeight="1" x14ac:dyDescent="0.25">
      <c r="A51" s="37"/>
      <c r="B51" s="38" t="s">
        <v>115</v>
      </c>
      <c r="C51" s="35"/>
      <c r="D51" s="169">
        <v>135.19415374929011</v>
      </c>
      <c r="E51" s="61">
        <v>100</v>
      </c>
      <c r="F51" s="62">
        <v>96.581483872886977</v>
      </c>
      <c r="G51" s="62">
        <v>81.71936356657983</v>
      </c>
      <c r="H51" s="62">
        <v>14.862120306307052</v>
      </c>
      <c r="I51" s="62">
        <v>3.41851612711302</v>
      </c>
    </row>
    <row r="52" spans="1:9" s="19" customFormat="1" ht="15.95" customHeight="1" x14ac:dyDescent="0.25">
      <c r="A52" s="37"/>
      <c r="B52" s="38" t="s">
        <v>116</v>
      </c>
      <c r="C52" s="35"/>
      <c r="D52" s="169">
        <v>926.04840985358931</v>
      </c>
      <c r="E52" s="61">
        <v>100</v>
      </c>
      <c r="F52" s="62">
        <v>83.602587351965738</v>
      </c>
      <c r="G52" s="62">
        <v>40.271522657521899</v>
      </c>
      <c r="H52" s="62">
        <v>43.331064694443782</v>
      </c>
      <c r="I52" s="62">
        <v>16.397412648034258</v>
      </c>
    </row>
    <row r="53" spans="1:9" s="19" customFormat="1" ht="15.95" customHeight="1" x14ac:dyDescent="0.25">
      <c r="A53" s="37"/>
      <c r="B53" s="38" t="s">
        <v>51</v>
      </c>
      <c r="C53" s="35"/>
      <c r="D53" s="169">
        <v>90.132700988471086</v>
      </c>
      <c r="E53" s="61">
        <v>100</v>
      </c>
      <c r="F53" s="62">
        <v>75.529316035126087</v>
      </c>
      <c r="G53" s="62">
        <v>51.21715402591326</v>
      </c>
      <c r="H53" s="62">
        <v>24.312162009212834</v>
      </c>
      <c r="I53" s="62">
        <v>24.470683964873917</v>
      </c>
    </row>
    <row r="54" spans="1:9" s="19" customFormat="1" ht="15.95" customHeight="1" x14ac:dyDescent="0.25">
      <c r="A54" s="37"/>
      <c r="B54" s="38" t="s">
        <v>52</v>
      </c>
      <c r="C54" s="35"/>
      <c r="D54" s="169">
        <v>1127.0528328088524</v>
      </c>
      <c r="E54" s="61">
        <v>100</v>
      </c>
      <c r="F54" s="62">
        <v>84.246708237384752</v>
      </c>
      <c r="G54" s="62">
        <v>57.620548140271509</v>
      </c>
      <c r="H54" s="62">
        <v>26.626160097113267</v>
      </c>
      <c r="I54" s="62">
        <v>15.753291762615255</v>
      </c>
    </row>
    <row r="55" spans="1:9" s="19" customFormat="1" ht="15.95" customHeight="1" x14ac:dyDescent="0.25">
      <c r="A55" s="37"/>
      <c r="B55" s="38" t="s">
        <v>4</v>
      </c>
      <c r="C55" s="35"/>
      <c r="D55" s="169">
        <v>113.15630331213431</v>
      </c>
      <c r="E55" s="61">
        <v>100</v>
      </c>
      <c r="F55" s="62">
        <v>65.435802962761272</v>
      </c>
      <c r="G55" s="62">
        <v>37.631292277048374</v>
      </c>
      <c r="H55" s="62">
        <v>27.804510685712973</v>
      </c>
      <c r="I55" s="62">
        <v>34.564197037238735</v>
      </c>
    </row>
    <row r="56" spans="1:9" s="19" customFormat="1" ht="15.95" customHeight="1" x14ac:dyDescent="0.25">
      <c r="A56" s="37"/>
      <c r="B56" s="38" t="s">
        <v>117</v>
      </c>
      <c r="C56" s="35"/>
      <c r="D56" s="169">
        <v>0.58776331744683297</v>
      </c>
      <c r="E56" s="61">
        <v>100</v>
      </c>
      <c r="F56" s="62">
        <v>100</v>
      </c>
      <c r="G56" s="62">
        <v>0</v>
      </c>
      <c r="H56" s="62">
        <v>100</v>
      </c>
      <c r="I56" s="62">
        <v>0</v>
      </c>
    </row>
    <row r="57" spans="1:9" s="19" customFormat="1" ht="15.95" customHeight="1" x14ac:dyDescent="0.25">
      <c r="A57" s="37" t="s">
        <v>53</v>
      </c>
      <c r="B57" s="38"/>
      <c r="C57" s="36" t="s">
        <v>19</v>
      </c>
      <c r="D57" s="169"/>
      <c r="E57" s="61"/>
      <c r="F57" s="178"/>
      <c r="G57" s="62"/>
      <c r="H57" s="62"/>
      <c r="I57" s="62"/>
    </row>
    <row r="58" spans="1:9" s="19" customFormat="1" ht="15.95" customHeight="1" x14ac:dyDescent="0.25">
      <c r="A58" s="37"/>
      <c r="B58" s="38" t="s">
        <v>54</v>
      </c>
      <c r="C58" s="36"/>
      <c r="D58" s="169">
        <v>4.7975458790780854</v>
      </c>
      <c r="E58" s="61">
        <v>100</v>
      </c>
      <c r="F58" s="62">
        <v>94.300281799632231</v>
      </c>
      <c r="G58" s="62">
        <v>23.450379840345914</v>
      </c>
      <c r="H58" s="62">
        <v>70.849901959286314</v>
      </c>
      <c r="I58" s="62">
        <v>5.6997182003677755</v>
      </c>
    </row>
    <row r="59" spans="1:9" s="19" customFormat="1" ht="15.95" customHeight="1" x14ac:dyDescent="0.25">
      <c r="A59" s="37"/>
      <c r="B59" s="38" t="s">
        <v>55</v>
      </c>
      <c r="C59" s="36"/>
      <c r="D59" s="169">
        <v>37.24128536158279</v>
      </c>
      <c r="E59" s="61">
        <v>100</v>
      </c>
      <c r="F59" s="62">
        <v>74.15902716043226</v>
      </c>
      <c r="G59" s="62">
        <v>34.171764216277154</v>
      </c>
      <c r="H59" s="62">
        <v>39.987262944155098</v>
      </c>
      <c r="I59" s="62">
        <v>25.840972839567733</v>
      </c>
    </row>
    <row r="60" spans="1:9" s="19" customFormat="1" ht="15.95" customHeight="1" x14ac:dyDescent="0.25">
      <c r="A60" s="37"/>
      <c r="B60" s="38" t="s">
        <v>211</v>
      </c>
      <c r="C60" s="36"/>
      <c r="D60" s="169">
        <v>7.9662537326298697</v>
      </c>
      <c r="E60" s="61">
        <v>100</v>
      </c>
      <c r="F60" s="62">
        <v>71.517544768533241</v>
      </c>
      <c r="G60" s="62">
        <v>61.9690434544369</v>
      </c>
      <c r="H60" s="62">
        <v>9.5485013140963435</v>
      </c>
      <c r="I60" s="62">
        <v>28.482455231466762</v>
      </c>
    </row>
    <row r="61" spans="1:9" s="19" customFormat="1" ht="15.95" customHeight="1" x14ac:dyDescent="0.25">
      <c r="A61" s="37"/>
      <c r="B61" s="38" t="s">
        <v>212</v>
      </c>
      <c r="C61" s="36"/>
      <c r="D61" s="169">
        <v>96.738248148425512</v>
      </c>
      <c r="E61" s="61">
        <v>100</v>
      </c>
      <c r="F61" s="62">
        <v>89.632043602975145</v>
      </c>
      <c r="G61" s="62">
        <v>52.03317200591222</v>
      </c>
      <c r="H61" s="62">
        <v>37.598871597062939</v>
      </c>
      <c r="I61" s="62">
        <v>10.367956397024855</v>
      </c>
    </row>
    <row r="62" spans="1:9" s="19" customFormat="1" ht="15.95" customHeight="1" x14ac:dyDescent="0.25">
      <c r="A62" s="37"/>
      <c r="B62" s="38" t="s">
        <v>56</v>
      </c>
      <c r="C62" s="36"/>
      <c r="D62" s="169">
        <v>244.84114081190341</v>
      </c>
      <c r="E62" s="61">
        <v>100</v>
      </c>
      <c r="F62" s="62">
        <v>75.50382623203393</v>
      </c>
      <c r="G62" s="62">
        <v>42.438017204464572</v>
      </c>
      <c r="H62" s="62">
        <v>33.065809027569379</v>
      </c>
      <c r="I62" s="62">
        <v>24.49617376796607</v>
      </c>
    </row>
    <row r="63" spans="1:9" s="19" customFormat="1" ht="15.95" customHeight="1" x14ac:dyDescent="0.25">
      <c r="A63" s="37"/>
      <c r="B63" s="38" t="s">
        <v>57</v>
      </c>
      <c r="C63" s="36"/>
      <c r="D63" s="169">
        <v>5.4957076744163631</v>
      </c>
      <c r="E63" s="61">
        <v>100</v>
      </c>
      <c r="F63" s="62">
        <v>59.175200176914124</v>
      </c>
      <c r="G63" s="62">
        <v>45.987720994342389</v>
      </c>
      <c r="H63" s="62">
        <v>13.187479182571719</v>
      </c>
      <c r="I63" s="62">
        <v>40.824799823085876</v>
      </c>
    </row>
    <row r="64" spans="1:9" s="19" customFormat="1" ht="15.95" customHeight="1" x14ac:dyDescent="0.25">
      <c r="A64" s="37"/>
      <c r="B64" s="38" t="s">
        <v>204</v>
      </c>
      <c r="C64" s="36"/>
      <c r="D64" s="169">
        <v>83.971673267093962</v>
      </c>
      <c r="E64" s="61">
        <v>100</v>
      </c>
      <c r="F64" s="62">
        <v>81.777812386860404</v>
      </c>
      <c r="G64" s="62">
        <v>36.169634415731885</v>
      </c>
      <c r="H64" s="62">
        <v>45.608177971128548</v>
      </c>
      <c r="I64" s="62">
        <v>18.222187613139599</v>
      </c>
    </row>
    <row r="65" spans="1:9" s="19" customFormat="1" ht="15.95" customHeight="1" x14ac:dyDescent="0.25">
      <c r="A65" s="37"/>
      <c r="B65" s="38" t="s">
        <v>58</v>
      </c>
      <c r="C65" s="36"/>
      <c r="D65" s="169">
        <v>0</v>
      </c>
      <c r="E65" s="61">
        <v>0</v>
      </c>
      <c r="F65" s="62">
        <v>0</v>
      </c>
      <c r="G65" s="62">
        <v>0</v>
      </c>
      <c r="H65" s="62">
        <v>0</v>
      </c>
      <c r="I65" s="62">
        <v>0</v>
      </c>
    </row>
    <row r="66" spans="1:9" s="19" customFormat="1" ht="15.95" customHeight="1" x14ac:dyDescent="0.25">
      <c r="A66" s="37"/>
      <c r="B66" s="38" t="s">
        <v>59</v>
      </c>
      <c r="C66" s="36"/>
      <c r="D66" s="169">
        <v>0</v>
      </c>
      <c r="E66" s="61">
        <v>0</v>
      </c>
      <c r="F66" s="62">
        <v>0</v>
      </c>
      <c r="G66" s="62">
        <v>0</v>
      </c>
      <c r="H66" s="62">
        <v>0</v>
      </c>
      <c r="I66" s="62">
        <v>0</v>
      </c>
    </row>
    <row r="67" spans="1:9" s="19" customFormat="1" ht="15.95" customHeight="1" x14ac:dyDescent="0.25">
      <c r="A67" s="37"/>
      <c r="B67" s="38" t="s">
        <v>93</v>
      </c>
      <c r="C67" s="36"/>
      <c r="D67" s="169">
        <v>1911.4783661531592</v>
      </c>
      <c r="E67" s="61">
        <v>100</v>
      </c>
      <c r="F67" s="62">
        <v>84.542452820848879</v>
      </c>
      <c r="G67" s="62">
        <v>53.142222702071479</v>
      </c>
      <c r="H67" s="62">
        <v>31.400230118777099</v>
      </c>
      <c r="I67" s="62">
        <v>15.457547179151122</v>
      </c>
    </row>
    <row r="68" spans="1:9" s="19" customFormat="1" ht="15.95" customHeight="1" x14ac:dyDescent="0.25">
      <c r="A68" s="37"/>
      <c r="B68" s="38" t="s">
        <v>94</v>
      </c>
      <c r="C68" s="36"/>
      <c r="D68" s="169">
        <v>0</v>
      </c>
      <c r="E68" s="61">
        <v>0</v>
      </c>
      <c r="F68" s="62">
        <v>0</v>
      </c>
      <c r="G68" s="62">
        <v>0</v>
      </c>
      <c r="H68" s="62">
        <v>0</v>
      </c>
      <c r="I68" s="62">
        <v>0</v>
      </c>
    </row>
    <row r="69" spans="1:9" s="19" customFormat="1" ht="15.95" customHeight="1" x14ac:dyDescent="0.25">
      <c r="A69" s="37"/>
      <c r="B69" s="38" t="s">
        <v>118</v>
      </c>
      <c r="C69" s="36"/>
      <c r="D69" s="169">
        <v>4.5222947361036772</v>
      </c>
      <c r="E69" s="61">
        <v>100</v>
      </c>
      <c r="F69" s="62">
        <v>100</v>
      </c>
      <c r="G69" s="62">
        <v>100</v>
      </c>
      <c r="H69" s="62">
        <v>0</v>
      </c>
      <c r="I69" s="62">
        <v>0</v>
      </c>
    </row>
    <row r="70" spans="1:9" s="19" customFormat="1" ht="15.95" customHeight="1" x14ac:dyDescent="0.25">
      <c r="A70" s="63"/>
      <c r="B70" s="64"/>
      <c r="C70" s="142"/>
      <c r="D70" s="171"/>
      <c r="E70" s="67"/>
      <c r="F70" s="69"/>
      <c r="G70" s="69"/>
      <c r="H70" s="69"/>
      <c r="I70" s="69"/>
    </row>
    <row r="71" spans="1:9" s="19" customFormat="1" ht="15.95" customHeight="1" x14ac:dyDescent="0.25">
      <c r="A71" s="30"/>
      <c r="B71" s="70"/>
      <c r="C71" s="143"/>
      <c r="D71" s="172"/>
      <c r="E71" s="110"/>
      <c r="F71" s="71"/>
      <c r="G71" s="71"/>
      <c r="H71" s="71"/>
      <c r="I71" s="71"/>
    </row>
    <row r="72" spans="1:9" s="19" customFormat="1" ht="15.95" customHeight="1" x14ac:dyDescent="0.25">
      <c r="A72" s="33" t="s">
        <v>62</v>
      </c>
      <c r="B72" s="34"/>
      <c r="C72" s="36" t="s">
        <v>19</v>
      </c>
      <c r="D72" s="169"/>
      <c r="E72" s="61"/>
      <c r="F72" s="62"/>
      <c r="G72" s="62"/>
      <c r="H72" s="62"/>
      <c r="I72" s="62"/>
    </row>
    <row r="73" spans="1:9" s="19" customFormat="1" ht="15.95" customHeight="1" x14ac:dyDescent="0.25">
      <c r="A73" s="37"/>
      <c r="B73" s="38" t="s">
        <v>129</v>
      </c>
      <c r="C73" s="35"/>
      <c r="D73" s="169">
        <v>2814.9567562408597</v>
      </c>
      <c r="E73" s="61">
        <v>100</v>
      </c>
      <c r="F73" s="62">
        <v>79.583125099059373</v>
      </c>
      <c r="G73" s="62">
        <v>33.521507125374683</v>
      </c>
      <c r="H73" s="62">
        <v>46.061617973684804</v>
      </c>
      <c r="I73" s="62">
        <v>20.416874900940634</v>
      </c>
    </row>
    <row r="74" spans="1:9" s="19" customFormat="1" ht="15.95" customHeight="1" x14ac:dyDescent="0.25">
      <c r="A74" s="37"/>
      <c r="B74" s="38" t="s">
        <v>130</v>
      </c>
      <c r="C74" s="35"/>
      <c r="D74" s="169">
        <v>4354.9045355855505</v>
      </c>
      <c r="E74" s="61">
        <v>100</v>
      </c>
      <c r="F74" s="62">
        <v>80.493433425198191</v>
      </c>
      <c r="G74" s="62">
        <v>34.786783394532556</v>
      </c>
      <c r="H74" s="62">
        <v>45.706650030665926</v>
      </c>
      <c r="I74" s="62">
        <v>19.506566574801806</v>
      </c>
    </row>
    <row r="75" spans="1:9" s="19" customFormat="1" ht="15.95" customHeight="1" x14ac:dyDescent="0.25">
      <c r="A75" s="37"/>
      <c r="B75" s="38" t="s">
        <v>131</v>
      </c>
      <c r="C75" s="35"/>
      <c r="D75" s="169">
        <v>4468.9444587749576</v>
      </c>
      <c r="E75" s="61">
        <v>100</v>
      </c>
      <c r="F75" s="62">
        <v>80.460071155077884</v>
      </c>
      <c r="G75" s="62">
        <v>36.256233444825881</v>
      </c>
      <c r="H75" s="62">
        <v>44.203837710252387</v>
      </c>
      <c r="I75" s="62">
        <v>19.53992884492212</v>
      </c>
    </row>
    <row r="76" spans="1:9" s="19" customFormat="1" ht="15.95" customHeight="1" x14ac:dyDescent="0.25">
      <c r="A76" s="37"/>
      <c r="B76" s="38" t="s">
        <v>132</v>
      </c>
      <c r="C76" s="35"/>
      <c r="D76" s="169">
        <v>4477.2506248924201</v>
      </c>
      <c r="E76" s="61">
        <v>100</v>
      </c>
      <c r="F76" s="62">
        <v>83.576757138989677</v>
      </c>
      <c r="G76" s="62">
        <v>37.912883358278506</v>
      </c>
      <c r="H76" s="62">
        <v>45.66387378071078</v>
      </c>
      <c r="I76" s="62">
        <v>16.423242861010323</v>
      </c>
    </row>
    <row r="77" spans="1:9" s="19" customFormat="1" ht="15.95" customHeight="1" x14ac:dyDescent="0.25">
      <c r="A77" s="37"/>
      <c r="B77" s="38" t="s">
        <v>168</v>
      </c>
      <c r="C77" s="35"/>
      <c r="D77" s="169">
        <v>4094.5776480006566</v>
      </c>
      <c r="E77" s="61">
        <v>100</v>
      </c>
      <c r="F77" s="62">
        <v>83.140606275533912</v>
      </c>
      <c r="G77" s="62">
        <v>41.15357606244816</v>
      </c>
      <c r="H77" s="62">
        <v>41.987030213085561</v>
      </c>
      <c r="I77" s="62">
        <v>16.859393724466095</v>
      </c>
    </row>
    <row r="78" spans="1:9" s="19" customFormat="1" ht="15.95" customHeight="1" x14ac:dyDescent="0.25">
      <c r="A78" s="37"/>
      <c r="B78" s="38" t="s">
        <v>134</v>
      </c>
      <c r="C78" s="35"/>
      <c r="D78" s="169">
        <v>3833.1714622288182</v>
      </c>
      <c r="E78" s="61">
        <v>100</v>
      </c>
      <c r="F78" s="62">
        <v>84.466079039738418</v>
      </c>
      <c r="G78" s="62">
        <v>42.442324320917308</v>
      </c>
      <c r="H78" s="62">
        <v>42.02375471882084</v>
      </c>
      <c r="I78" s="62">
        <v>15.533920960261575</v>
      </c>
    </row>
    <row r="79" spans="1:9" s="19" customFormat="1" ht="15.95" customHeight="1" x14ac:dyDescent="0.25">
      <c r="A79" s="37"/>
      <c r="B79" s="38" t="s">
        <v>135</v>
      </c>
      <c r="C79" s="35"/>
      <c r="D79" s="169">
        <v>3878.3550129201158</v>
      </c>
      <c r="E79" s="61">
        <v>100</v>
      </c>
      <c r="F79" s="62">
        <v>84.102459835779271</v>
      </c>
      <c r="G79" s="62">
        <v>43.481662955941992</v>
      </c>
      <c r="H79" s="62">
        <v>40.620796879837464</v>
      </c>
      <c r="I79" s="62">
        <v>15.897540164220729</v>
      </c>
    </row>
    <row r="80" spans="1:9" s="19" customFormat="1" ht="15.95" customHeight="1" x14ac:dyDescent="0.25">
      <c r="A80" s="37"/>
      <c r="B80" s="38" t="s">
        <v>136</v>
      </c>
      <c r="C80" s="35"/>
      <c r="D80" s="169">
        <v>4031.5867662049873</v>
      </c>
      <c r="E80" s="61">
        <v>100</v>
      </c>
      <c r="F80" s="62">
        <v>82.847261843001249</v>
      </c>
      <c r="G80" s="62">
        <v>42.120814747175253</v>
      </c>
      <c r="H80" s="62">
        <v>40.726447095825776</v>
      </c>
      <c r="I80" s="62">
        <v>17.152738156998748</v>
      </c>
    </row>
    <row r="81" spans="1:9" s="19" customFormat="1" ht="15.95" customHeight="1" x14ac:dyDescent="0.25">
      <c r="A81" s="37"/>
      <c r="B81" s="38" t="s">
        <v>192</v>
      </c>
      <c r="C81" s="35"/>
      <c r="D81" s="169">
        <v>3125.0231904071766</v>
      </c>
      <c r="E81" s="61">
        <v>100</v>
      </c>
      <c r="F81" s="62">
        <v>84.716316119152026</v>
      </c>
      <c r="G81" s="62">
        <v>50.189784726595107</v>
      </c>
      <c r="H81" s="62">
        <v>34.526531392556429</v>
      </c>
      <c r="I81" s="62">
        <v>15.28368388084797</v>
      </c>
    </row>
    <row r="82" spans="1:9" s="19" customFormat="1" ht="15.95" customHeight="1" x14ac:dyDescent="0.25">
      <c r="A82" s="37"/>
      <c r="B82" s="38" t="s">
        <v>194</v>
      </c>
      <c r="C82" s="35"/>
      <c r="D82" s="169">
        <v>2903.7050263935171</v>
      </c>
      <c r="E82" s="61">
        <v>100</v>
      </c>
      <c r="F82" s="62">
        <v>85.05776157061014</v>
      </c>
      <c r="G82" s="62">
        <v>48.324695793203915</v>
      </c>
      <c r="H82" s="62">
        <v>36.733065777406466</v>
      </c>
      <c r="I82" s="62">
        <v>14.94223842938986</v>
      </c>
    </row>
    <row r="83" spans="1:9" s="19" customFormat="1" ht="15.95" customHeight="1" x14ac:dyDescent="0.25">
      <c r="A83" s="37"/>
      <c r="B83" s="38" t="s">
        <v>205</v>
      </c>
      <c r="C83" s="35"/>
      <c r="D83" s="169">
        <f t="shared" ref="D83:I83" si="0">D$9</f>
        <v>2397.0525157643883</v>
      </c>
      <c r="E83" s="61">
        <f t="shared" si="0"/>
        <v>100</v>
      </c>
      <c r="F83" s="62">
        <f t="shared" si="0"/>
        <v>83.51370328559446</v>
      </c>
      <c r="G83" s="62">
        <f t="shared" si="0"/>
        <v>51.156715907130987</v>
      </c>
      <c r="H83" s="62">
        <f t="shared" si="0"/>
        <v>32.356987378463415</v>
      </c>
      <c r="I83" s="62">
        <f t="shared" si="0"/>
        <v>16.48629671440554</v>
      </c>
    </row>
    <row r="84" spans="1:9" ht="5.0999999999999996" customHeight="1" x14ac:dyDescent="0.25">
      <c r="A84" s="111"/>
      <c r="B84" s="112"/>
      <c r="C84" s="180"/>
      <c r="D84" s="181"/>
      <c r="E84" s="117"/>
      <c r="F84" s="118"/>
      <c r="G84" s="118"/>
      <c r="H84" s="118"/>
      <c r="I84" s="118"/>
    </row>
  </sheetData>
  <mergeCells count="8">
    <mergeCell ref="A1:I1"/>
    <mergeCell ref="A3:I3"/>
    <mergeCell ref="A5:C7"/>
    <mergeCell ref="E5:E7"/>
    <mergeCell ref="F6:F7"/>
    <mergeCell ref="I6:I7"/>
    <mergeCell ref="A2:I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6010-1732-4B3F-8361-697F613147E9}">
  <sheetPr codeName="工作表78"/>
  <dimension ref="A14:I23"/>
  <sheetViews>
    <sheetView showGridLines="0" view="pageBreakPreview" zoomScale="120" zoomScaleNormal="85" zoomScaleSheetLayoutView="120" workbookViewId="0"/>
  </sheetViews>
  <sheetFormatPr defaultColWidth="9" defaultRowHeight="11.1" customHeight="1" x14ac:dyDescent="0.25"/>
  <cols>
    <col min="1" max="1" width="3.625" style="18" customWidth="1"/>
    <col min="2" max="2" width="9" style="44"/>
    <col min="3" max="3" width="9" style="48"/>
    <col min="4" max="5" width="9" style="46"/>
    <col min="6" max="8" width="9" style="47"/>
    <col min="9" max="16384" width="9" style="46"/>
  </cols>
  <sheetData>
    <row r="14" spans="2:9" ht="11.1" customHeight="1" thickBot="1" x14ac:dyDescent="0.3"/>
    <row r="15" spans="2:9" ht="11.1" customHeight="1" x14ac:dyDescent="0.25">
      <c r="B15" s="246" t="s">
        <v>237</v>
      </c>
      <c r="C15" s="247"/>
      <c r="D15" s="247"/>
      <c r="E15" s="247"/>
      <c r="F15" s="247"/>
      <c r="G15" s="247"/>
      <c r="H15" s="247"/>
      <c r="I15" s="248"/>
    </row>
    <row r="16" spans="2:9" ht="11.1" customHeight="1" x14ac:dyDescent="0.25">
      <c r="B16" s="249"/>
      <c r="C16" s="250"/>
      <c r="D16" s="250"/>
      <c r="E16" s="250"/>
      <c r="F16" s="250"/>
      <c r="G16" s="250"/>
      <c r="H16" s="250"/>
      <c r="I16" s="251"/>
    </row>
    <row r="17" spans="2:9" ht="11.1" customHeight="1" x14ac:dyDescent="0.25">
      <c r="B17" s="249"/>
      <c r="C17" s="250"/>
      <c r="D17" s="250"/>
      <c r="E17" s="250"/>
      <c r="F17" s="250"/>
      <c r="G17" s="250"/>
      <c r="H17" s="250"/>
      <c r="I17" s="251"/>
    </row>
    <row r="18" spans="2:9" ht="11.1" customHeight="1" x14ac:dyDescent="0.25">
      <c r="B18" s="249"/>
      <c r="C18" s="250"/>
      <c r="D18" s="250"/>
      <c r="E18" s="250"/>
      <c r="F18" s="250"/>
      <c r="G18" s="250"/>
      <c r="H18" s="250"/>
      <c r="I18" s="251"/>
    </row>
    <row r="19" spans="2:9" ht="11.1" customHeight="1" x14ac:dyDescent="0.25">
      <c r="B19" s="249"/>
      <c r="C19" s="250"/>
      <c r="D19" s="250"/>
      <c r="E19" s="250"/>
      <c r="F19" s="250"/>
      <c r="G19" s="250"/>
      <c r="H19" s="250"/>
      <c r="I19" s="251"/>
    </row>
    <row r="20" spans="2:9" ht="11.1" customHeight="1" x14ac:dyDescent="0.25">
      <c r="B20" s="249"/>
      <c r="C20" s="250"/>
      <c r="D20" s="250"/>
      <c r="E20" s="250"/>
      <c r="F20" s="250"/>
      <c r="G20" s="250"/>
      <c r="H20" s="250"/>
      <c r="I20" s="251"/>
    </row>
    <row r="21" spans="2:9" ht="11.1" customHeight="1" x14ac:dyDescent="0.25">
      <c r="B21" s="249"/>
      <c r="C21" s="250"/>
      <c r="D21" s="250"/>
      <c r="E21" s="250"/>
      <c r="F21" s="250"/>
      <c r="G21" s="250"/>
      <c r="H21" s="250"/>
      <c r="I21" s="251"/>
    </row>
    <row r="22" spans="2:9" ht="11.1" customHeight="1" x14ac:dyDescent="0.25">
      <c r="B22" s="249"/>
      <c r="C22" s="250"/>
      <c r="D22" s="250"/>
      <c r="E22" s="250"/>
      <c r="F22" s="250"/>
      <c r="G22" s="250"/>
      <c r="H22" s="250"/>
      <c r="I22" s="251"/>
    </row>
    <row r="23" spans="2:9" ht="11.1" customHeight="1" thickBot="1" x14ac:dyDescent="0.3">
      <c r="B23" s="252"/>
      <c r="C23" s="253"/>
      <c r="D23" s="253"/>
      <c r="E23" s="253"/>
      <c r="F23" s="253"/>
      <c r="G23" s="253"/>
      <c r="H23" s="253"/>
      <c r="I23" s="254"/>
    </row>
  </sheetData>
  <mergeCells count="1">
    <mergeCell ref="B15:I23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59BE-2116-4DBB-BBD8-60445ABEE715}">
  <sheetPr codeName="工作表21"/>
  <dimension ref="A1:H102"/>
  <sheetViews>
    <sheetView showGridLines="0" view="pageBreakPreview" zoomScale="120" zoomScaleNormal="100" zoomScaleSheetLayoutView="120" workbookViewId="0">
      <selection sqref="A1:H1"/>
    </sheetView>
  </sheetViews>
  <sheetFormatPr defaultColWidth="9" defaultRowHeight="11.1" customHeight="1" x14ac:dyDescent="0.25"/>
  <cols>
    <col min="1" max="1" width="1.75" style="18" customWidth="1"/>
    <col min="2" max="2" width="15.125" style="44" customWidth="1"/>
    <col min="3" max="3" width="2.5" style="48" customWidth="1"/>
    <col min="4" max="4" width="11.625" style="46" customWidth="1"/>
    <col min="5" max="8" width="11.625" style="47" customWidth="1"/>
    <col min="9" max="16384" width="9" style="46"/>
  </cols>
  <sheetData>
    <row r="1" spans="1:8" s="14" customFormat="1" ht="22.15" customHeight="1" x14ac:dyDescent="0.25">
      <c r="A1" s="255" t="s">
        <v>241</v>
      </c>
      <c r="B1" s="256"/>
      <c r="C1" s="256"/>
      <c r="D1" s="256"/>
      <c r="E1" s="256"/>
      <c r="F1" s="256"/>
      <c r="G1" s="256"/>
      <c r="H1" s="256"/>
    </row>
    <row r="2" spans="1:8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</row>
    <row r="3" spans="1:8" s="19" customFormat="1" ht="13.5" customHeight="1" x14ac:dyDescent="0.25">
      <c r="A3" s="257" t="s">
        <v>103</v>
      </c>
      <c r="B3" s="257"/>
      <c r="C3" s="257"/>
      <c r="D3" s="257"/>
      <c r="E3" s="257"/>
      <c r="F3" s="257"/>
      <c r="G3" s="257"/>
      <c r="H3" s="257"/>
    </row>
    <row r="4" spans="1:8" s="28" customFormat="1" ht="13.5" x14ac:dyDescent="0.25">
      <c r="A4" s="24"/>
      <c r="B4" s="24"/>
      <c r="C4" s="24"/>
      <c r="D4" s="25"/>
      <c r="E4" s="26"/>
      <c r="F4" s="26"/>
      <c r="G4" s="26"/>
      <c r="H4" s="27" t="s">
        <v>160</v>
      </c>
    </row>
    <row r="5" spans="1:8" s="19" customFormat="1" ht="9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</row>
    <row r="6" spans="1:8" s="19" customFormat="1" ht="15" customHeight="1" x14ac:dyDescent="0.25">
      <c r="A6" s="260"/>
      <c r="B6" s="260"/>
      <c r="C6" s="261"/>
      <c r="D6" s="261"/>
      <c r="E6" s="265"/>
      <c r="F6" s="270" t="s">
        <v>0</v>
      </c>
      <c r="G6" s="270" t="s">
        <v>1</v>
      </c>
      <c r="H6" s="272" t="s">
        <v>2</v>
      </c>
    </row>
    <row r="7" spans="1:8" s="19" customFormat="1" ht="24" customHeight="1" x14ac:dyDescent="0.25">
      <c r="A7" s="262"/>
      <c r="B7" s="262"/>
      <c r="C7" s="263"/>
      <c r="D7" s="263"/>
      <c r="E7" s="266"/>
      <c r="F7" s="271"/>
      <c r="G7" s="271"/>
      <c r="H7" s="273"/>
    </row>
    <row r="8" spans="1:8" s="19" customFormat="1" ht="4.5" customHeight="1" x14ac:dyDescent="0.25">
      <c r="A8" s="30"/>
      <c r="B8" s="31"/>
      <c r="C8" s="32"/>
      <c r="D8" s="77"/>
      <c r="E8" s="80"/>
      <c r="F8" s="81"/>
      <c r="G8" s="81"/>
      <c r="H8" s="81"/>
    </row>
    <row r="9" spans="1:8" s="19" customFormat="1" ht="14.1" customHeight="1" x14ac:dyDescent="0.25">
      <c r="A9" s="33" t="s">
        <v>22</v>
      </c>
      <c r="B9" s="34"/>
      <c r="C9" s="35"/>
      <c r="D9" s="168">
        <v>70610.930339720711</v>
      </c>
      <c r="E9" s="57">
        <v>100</v>
      </c>
      <c r="F9" s="58">
        <v>15.205767606449871</v>
      </c>
      <c r="G9" s="58">
        <v>12.801645008640049</v>
      </c>
      <c r="H9" s="58">
        <v>71.99258738491406</v>
      </c>
    </row>
    <row r="10" spans="1:8" s="19" customFormat="1" ht="14.1" customHeight="1" x14ac:dyDescent="0.25">
      <c r="A10" s="37" t="s">
        <v>23</v>
      </c>
      <c r="B10" s="38"/>
      <c r="C10" s="36" t="s">
        <v>19</v>
      </c>
      <c r="D10" s="169"/>
      <c r="E10" s="61"/>
      <c r="F10" s="62"/>
      <c r="G10" s="62"/>
      <c r="H10" s="62"/>
    </row>
    <row r="11" spans="1:8" s="19" customFormat="1" ht="14.1" customHeight="1" x14ac:dyDescent="0.25">
      <c r="A11" s="37"/>
      <c r="B11" s="38" t="s">
        <v>24</v>
      </c>
      <c r="C11" s="35"/>
      <c r="D11" s="169">
        <v>11825.7800551457</v>
      </c>
      <c r="E11" s="61">
        <v>100</v>
      </c>
      <c r="F11" s="62">
        <v>29.022312775316411</v>
      </c>
      <c r="G11" s="62">
        <v>16.180042775596174</v>
      </c>
      <c r="H11" s="62">
        <v>54.797644449087556</v>
      </c>
    </row>
    <row r="12" spans="1:8" s="19" customFormat="1" ht="14.1" customHeight="1" x14ac:dyDescent="0.25">
      <c r="A12" s="37"/>
      <c r="B12" s="38" t="s">
        <v>25</v>
      </c>
      <c r="C12" s="35"/>
      <c r="D12" s="169">
        <v>7971.3182821129876</v>
      </c>
      <c r="E12" s="61">
        <v>100</v>
      </c>
      <c r="F12" s="62">
        <v>38.331317629269911</v>
      </c>
      <c r="G12" s="62">
        <v>24.710046034714555</v>
      </c>
      <c r="H12" s="62">
        <v>36.958636336015459</v>
      </c>
    </row>
    <row r="13" spans="1:8" s="19" customFormat="1" ht="14.1" customHeight="1" x14ac:dyDescent="0.25">
      <c r="A13" s="37"/>
      <c r="B13" s="38" t="s">
        <v>26</v>
      </c>
      <c r="C13" s="35"/>
      <c r="D13" s="169">
        <v>7305.4332645700024</v>
      </c>
      <c r="E13" s="61">
        <v>100</v>
      </c>
      <c r="F13" s="62">
        <v>12.943645952262127</v>
      </c>
      <c r="G13" s="62">
        <v>14.005143245735443</v>
      </c>
      <c r="H13" s="62">
        <v>73.051210802002714</v>
      </c>
    </row>
    <row r="14" spans="1:8" s="19" customFormat="1" ht="14.1" customHeight="1" x14ac:dyDescent="0.25">
      <c r="A14" s="37"/>
      <c r="B14" s="38" t="s">
        <v>27</v>
      </c>
      <c r="C14" s="35"/>
      <c r="D14" s="169">
        <v>7339.5437058502648</v>
      </c>
      <c r="E14" s="61">
        <v>100</v>
      </c>
      <c r="F14" s="62">
        <v>9.0082473417590023</v>
      </c>
      <c r="G14" s="62">
        <v>9.3891124711240934</v>
      </c>
      <c r="H14" s="62">
        <v>81.602640187116549</v>
      </c>
    </row>
    <row r="15" spans="1:8" s="19" customFormat="1" ht="14.1" customHeight="1" x14ac:dyDescent="0.25">
      <c r="A15" s="37"/>
      <c r="B15" s="38" t="s">
        <v>28</v>
      </c>
      <c r="C15" s="35"/>
      <c r="D15" s="169">
        <v>6151.9163621331236</v>
      </c>
      <c r="E15" s="61">
        <v>100</v>
      </c>
      <c r="F15" s="62">
        <v>4.9273884883642314</v>
      </c>
      <c r="G15" s="62">
        <v>9.9964492136905534</v>
      </c>
      <c r="H15" s="62">
        <v>85.076162297945444</v>
      </c>
    </row>
    <row r="16" spans="1:8" s="19" customFormat="1" ht="14.1" customHeight="1" x14ac:dyDescent="0.25">
      <c r="A16" s="37"/>
      <c r="B16" s="38" t="s">
        <v>29</v>
      </c>
      <c r="C16" s="35"/>
      <c r="D16" s="169">
        <v>9200.7959274540844</v>
      </c>
      <c r="E16" s="61">
        <v>100</v>
      </c>
      <c r="F16" s="62">
        <v>10.190651823749789</v>
      </c>
      <c r="G16" s="62">
        <v>8.6028633499181897</v>
      </c>
      <c r="H16" s="62">
        <v>81.206484826332115</v>
      </c>
    </row>
    <row r="17" spans="1:8" s="19" customFormat="1" ht="14.1" customHeight="1" x14ac:dyDescent="0.25">
      <c r="A17" s="37"/>
      <c r="B17" s="38" t="s">
        <v>30</v>
      </c>
      <c r="C17" s="35"/>
      <c r="D17" s="169">
        <v>1500.8650627473314</v>
      </c>
      <c r="E17" s="61">
        <v>100</v>
      </c>
      <c r="F17" s="62">
        <v>8.3201713019705839</v>
      </c>
      <c r="G17" s="62">
        <v>11.171988928077992</v>
      </c>
      <c r="H17" s="62">
        <v>80.507839769952383</v>
      </c>
    </row>
    <row r="18" spans="1:8" s="19" customFormat="1" ht="14.1" customHeight="1" x14ac:dyDescent="0.25">
      <c r="A18" s="37"/>
      <c r="B18" s="38" t="s">
        <v>31</v>
      </c>
      <c r="C18" s="35"/>
      <c r="D18" s="169">
        <v>1737.1933128209207</v>
      </c>
      <c r="E18" s="61">
        <v>100</v>
      </c>
      <c r="F18" s="62">
        <v>6.923085791484759</v>
      </c>
      <c r="G18" s="62">
        <v>10.858948563566047</v>
      </c>
      <c r="H18" s="62">
        <v>82.217965644948663</v>
      </c>
    </row>
    <row r="19" spans="1:8" s="19" customFormat="1" ht="14.1" customHeight="1" x14ac:dyDescent="0.25">
      <c r="A19" s="37"/>
      <c r="B19" s="38" t="s">
        <v>32</v>
      </c>
      <c r="C19" s="35"/>
      <c r="D19" s="169">
        <v>1660.7302977424163</v>
      </c>
      <c r="E19" s="61">
        <v>100</v>
      </c>
      <c r="F19" s="62">
        <v>6.8143924154647859</v>
      </c>
      <c r="G19" s="62">
        <v>9.5460151972350076</v>
      </c>
      <c r="H19" s="62">
        <v>83.639592387300254</v>
      </c>
    </row>
    <row r="20" spans="1:8" s="19" customFormat="1" ht="14.1" customHeight="1" x14ac:dyDescent="0.25">
      <c r="A20" s="37"/>
      <c r="B20" s="38" t="s">
        <v>33</v>
      </c>
      <c r="C20" s="35"/>
      <c r="D20" s="169">
        <v>3032.2839786778486</v>
      </c>
      <c r="E20" s="61">
        <v>100</v>
      </c>
      <c r="F20" s="62">
        <v>3.4478565265061993</v>
      </c>
      <c r="G20" s="62">
        <v>7.4566209284075446</v>
      </c>
      <c r="H20" s="62">
        <v>89.095522545086197</v>
      </c>
    </row>
    <row r="21" spans="1:8" s="19" customFormat="1" ht="14.1" customHeight="1" x14ac:dyDescent="0.25">
      <c r="A21" s="37"/>
      <c r="B21" s="38" t="s">
        <v>34</v>
      </c>
      <c r="C21" s="35"/>
      <c r="D21" s="169">
        <v>1486.6441046240939</v>
      </c>
      <c r="E21" s="61">
        <v>100</v>
      </c>
      <c r="F21" s="62">
        <v>3.325239038165047</v>
      </c>
      <c r="G21" s="62">
        <v>9.4733741330372752</v>
      </c>
      <c r="H21" s="62">
        <v>87.201386828796998</v>
      </c>
    </row>
    <row r="22" spans="1:8" s="19" customFormat="1" ht="14.1" customHeight="1" x14ac:dyDescent="0.25">
      <c r="A22" s="37"/>
      <c r="B22" s="38" t="s">
        <v>35</v>
      </c>
      <c r="C22" s="35"/>
      <c r="D22" s="169">
        <v>2042.8752168977219</v>
      </c>
      <c r="E22" s="61">
        <v>100</v>
      </c>
      <c r="F22" s="62">
        <v>3.8018242629028753</v>
      </c>
      <c r="G22" s="62">
        <v>9.7626788177713681</v>
      </c>
      <c r="H22" s="62">
        <v>86.435496919325786</v>
      </c>
    </row>
    <row r="23" spans="1:8" s="19" customFormat="1" ht="14.1" customHeight="1" x14ac:dyDescent="0.25">
      <c r="A23" s="37"/>
      <c r="B23" s="38" t="s">
        <v>36</v>
      </c>
      <c r="C23" s="35"/>
      <c r="D23" s="169">
        <v>1413.6813776061772</v>
      </c>
      <c r="E23" s="61">
        <v>100</v>
      </c>
      <c r="F23" s="62">
        <v>4.4064473825481825</v>
      </c>
      <c r="G23" s="62">
        <v>9.8651877373107819</v>
      </c>
      <c r="H23" s="62">
        <v>85.728364880140802</v>
      </c>
    </row>
    <row r="24" spans="1:8" s="19" customFormat="1" ht="14.1" customHeight="1" x14ac:dyDescent="0.25">
      <c r="A24" s="37"/>
      <c r="B24" s="38" t="s">
        <v>37</v>
      </c>
      <c r="C24" s="35"/>
      <c r="D24" s="169">
        <v>1960.5098101542453</v>
      </c>
      <c r="E24" s="61">
        <v>100</v>
      </c>
      <c r="F24" s="62">
        <v>4.0721625077748449</v>
      </c>
      <c r="G24" s="62">
        <v>7.1651467474737709</v>
      </c>
      <c r="H24" s="62">
        <v>88.762690744751069</v>
      </c>
    </row>
    <row r="25" spans="1:8" s="19" customFormat="1" ht="14.1" customHeight="1" x14ac:dyDescent="0.25">
      <c r="A25" s="37"/>
      <c r="B25" s="38" t="s">
        <v>38</v>
      </c>
      <c r="C25" s="35"/>
      <c r="D25" s="169">
        <v>576.92051217503536</v>
      </c>
      <c r="E25" s="61">
        <v>100</v>
      </c>
      <c r="F25" s="62">
        <v>5.4019043222785603</v>
      </c>
      <c r="G25" s="62">
        <v>7.9465415672471407</v>
      </c>
      <c r="H25" s="62">
        <v>86.651554110473924</v>
      </c>
    </row>
    <row r="26" spans="1:8" s="19" customFormat="1" ht="14.1" customHeight="1" x14ac:dyDescent="0.25">
      <c r="A26" s="37"/>
      <c r="B26" s="38" t="s">
        <v>39</v>
      </c>
      <c r="C26" s="35"/>
      <c r="D26" s="169">
        <v>983.71910907100823</v>
      </c>
      <c r="E26" s="61">
        <v>100</v>
      </c>
      <c r="F26" s="62">
        <v>5.039814177553442</v>
      </c>
      <c r="G26" s="62">
        <v>10.822902171654992</v>
      </c>
      <c r="H26" s="62">
        <v>84.137283650791929</v>
      </c>
    </row>
    <row r="27" spans="1:8" s="19" customFormat="1" ht="14.1" customHeight="1" x14ac:dyDescent="0.25">
      <c r="A27" s="37"/>
      <c r="B27" s="38" t="s">
        <v>40</v>
      </c>
      <c r="C27" s="35"/>
      <c r="D27" s="169">
        <v>288.32904749095724</v>
      </c>
      <c r="E27" s="61">
        <v>100</v>
      </c>
      <c r="F27" s="62">
        <v>5.606016836790265</v>
      </c>
      <c r="G27" s="62">
        <v>11.818995405540008</v>
      </c>
      <c r="H27" s="62">
        <v>82.574987757670101</v>
      </c>
    </row>
    <row r="28" spans="1:8" s="19" customFormat="1" ht="14.1" customHeight="1" x14ac:dyDescent="0.25">
      <c r="A28" s="37"/>
      <c r="B28" s="38" t="s">
        <v>41</v>
      </c>
      <c r="C28" s="35"/>
      <c r="D28" s="169">
        <v>1200.9148060511902</v>
      </c>
      <c r="E28" s="61">
        <v>100</v>
      </c>
      <c r="F28" s="62">
        <v>33.371023516183769</v>
      </c>
      <c r="G28" s="62">
        <v>12.175742767033817</v>
      </c>
      <c r="H28" s="62">
        <v>54.45323371678289</v>
      </c>
    </row>
    <row r="29" spans="1:8" s="19" customFormat="1" ht="14.1" customHeight="1" x14ac:dyDescent="0.25">
      <c r="A29" s="37"/>
      <c r="B29" s="38" t="s">
        <v>42</v>
      </c>
      <c r="C29" s="35"/>
      <c r="D29" s="169">
        <v>1480.5052378855992</v>
      </c>
      <c r="E29" s="61">
        <v>100</v>
      </c>
      <c r="F29" s="62">
        <v>6.8478047114534135</v>
      </c>
      <c r="G29" s="62">
        <v>11.780505827015828</v>
      </c>
      <c r="H29" s="62">
        <v>81.371689461531261</v>
      </c>
    </row>
    <row r="30" spans="1:8" s="19" customFormat="1" ht="14.1" customHeight="1" x14ac:dyDescent="0.25">
      <c r="A30" s="37"/>
      <c r="B30" s="38" t="s">
        <v>43</v>
      </c>
      <c r="C30" s="35"/>
      <c r="D30" s="169">
        <v>956.47988177207253</v>
      </c>
      <c r="E30" s="61">
        <v>100</v>
      </c>
      <c r="F30" s="62">
        <v>4.1896617567902332</v>
      </c>
      <c r="G30" s="62">
        <v>10.550094506672949</v>
      </c>
      <c r="H30" s="62">
        <v>85.260243736536466</v>
      </c>
    </row>
    <row r="31" spans="1:8" s="19" customFormat="1" ht="14.1" customHeight="1" x14ac:dyDescent="0.25">
      <c r="A31" s="37"/>
      <c r="B31" s="38" t="s">
        <v>44</v>
      </c>
      <c r="C31" s="35"/>
      <c r="D31" s="169">
        <v>463.98501420877085</v>
      </c>
      <c r="E31" s="61">
        <v>100</v>
      </c>
      <c r="F31" s="62">
        <v>5.9422513303622111</v>
      </c>
      <c r="G31" s="62">
        <v>13.69566568151768</v>
      </c>
      <c r="H31" s="62">
        <v>80.362082988120306</v>
      </c>
    </row>
    <row r="32" spans="1:8" s="19" customFormat="1" ht="14.1" customHeight="1" x14ac:dyDescent="0.25">
      <c r="A32" s="37"/>
      <c r="B32" s="38" t="s">
        <v>45</v>
      </c>
      <c r="C32" s="35"/>
      <c r="D32" s="169">
        <v>30.505972529094453</v>
      </c>
      <c r="E32" s="61">
        <v>100</v>
      </c>
      <c r="F32" s="62">
        <v>9.9172226222589863</v>
      </c>
      <c r="G32" s="62">
        <v>15.815489675006441</v>
      </c>
      <c r="H32" s="62">
        <v>74.267287702734535</v>
      </c>
    </row>
    <row r="33" spans="1:8" s="19" customFormat="1" ht="14.1" customHeight="1" x14ac:dyDescent="0.25">
      <c r="A33" s="37" t="s">
        <v>232</v>
      </c>
      <c r="B33" s="38"/>
      <c r="C33" s="36" t="s">
        <v>19</v>
      </c>
      <c r="D33" s="157"/>
      <c r="E33" s="158"/>
      <c r="F33" s="159"/>
      <c r="G33" s="159"/>
      <c r="H33" s="62"/>
    </row>
    <row r="34" spans="1:8" s="19" customFormat="1" ht="14.1" customHeight="1" x14ac:dyDescent="0.25">
      <c r="A34" s="37"/>
      <c r="B34" s="38" t="s">
        <v>233</v>
      </c>
      <c r="C34" s="35"/>
      <c r="D34" s="169">
        <v>49794.787597265102</v>
      </c>
      <c r="E34" s="61">
        <v>100</v>
      </c>
      <c r="F34" s="62">
        <v>18.74720271051282</v>
      </c>
      <c r="G34" s="62">
        <v>14.061496250515447</v>
      </c>
      <c r="H34" s="62">
        <v>67.191301038973066</v>
      </c>
    </row>
    <row r="35" spans="1:8" s="19" customFormat="1" ht="14.1" customHeight="1" x14ac:dyDescent="0.25">
      <c r="A35" s="37"/>
      <c r="B35" s="38" t="s">
        <v>234</v>
      </c>
      <c r="C35" s="35"/>
      <c r="D35" s="169">
        <v>20816.142742454544</v>
      </c>
      <c r="E35" s="61">
        <v>100</v>
      </c>
      <c r="F35" s="62">
        <v>6.7342168980355526</v>
      </c>
      <c r="G35" s="62">
        <v>9.7879250428671813</v>
      </c>
      <c r="H35" s="62">
        <v>83.477858059096036</v>
      </c>
    </row>
    <row r="36" spans="1:8" s="19" customFormat="1" ht="14.1" customHeight="1" x14ac:dyDescent="0.25">
      <c r="A36" s="37" t="s">
        <v>46</v>
      </c>
      <c r="B36" s="38"/>
      <c r="C36" s="36" t="s">
        <v>19</v>
      </c>
      <c r="D36" s="169"/>
      <c r="E36" s="61"/>
      <c r="F36" s="62"/>
      <c r="G36" s="62"/>
      <c r="H36" s="62"/>
    </row>
    <row r="37" spans="1:8" s="19" customFormat="1" ht="14.1" customHeight="1" x14ac:dyDescent="0.25">
      <c r="A37" s="37"/>
      <c r="B37" s="38" t="s">
        <v>47</v>
      </c>
      <c r="C37" s="35"/>
      <c r="D37" s="169">
        <v>34519.18782160306</v>
      </c>
      <c r="E37" s="61">
        <v>100</v>
      </c>
      <c r="F37" s="62">
        <v>11.031506117200557</v>
      </c>
      <c r="G37" s="62">
        <v>10.78128131460055</v>
      </c>
      <c r="H37" s="62">
        <v>78.187212568199271</v>
      </c>
    </row>
    <row r="38" spans="1:8" s="19" customFormat="1" ht="14.1" customHeight="1" x14ac:dyDescent="0.25">
      <c r="A38" s="37"/>
      <c r="B38" s="38" t="s">
        <v>48</v>
      </c>
      <c r="C38" s="35"/>
      <c r="D38" s="169">
        <v>36091.742518120955</v>
      </c>
      <c r="E38" s="61">
        <v>100</v>
      </c>
      <c r="F38" s="62">
        <v>19.198152188366031</v>
      </c>
      <c r="G38" s="62">
        <v>14.733979358732533</v>
      </c>
      <c r="H38" s="62">
        <v>66.067868452893762</v>
      </c>
    </row>
    <row r="39" spans="1:8" s="19" customFormat="1" ht="14.1" customHeight="1" x14ac:dyDescent="0.25">
      <c r="A39" s="37" t="s">
        <v>49</v>
      </c>
      <c r="B39" s="38"/>
      <c r="C39" s="36" t="s">
        <v>19</v>
      </c>
      <c r="D39" s="169"/>
      <c r="E39" s="61"/>
      <c r="F39" s="62"/>
      <c r="G39" s="62"/>
      <c r="H39" s="62"/>
    </row>
    <row r="40" spans="1:8" s="19" customFormat="1" ht="14.1" customHeight="1" x14ac:dyDescent="0.25">
      <c r="A40" s="37"/>
      <c r="B40" s="38" t="s">
        <v>207</v>
      </c>
      <c r="C40" s="35"/>
      <c r="D40" s="169">
        <v>2212.2927410638945</v>
      </c>
      <c r="E40" s="61">
        <v>100</v>
      </c>
      <c r="F40" s="62">
        <v>43.154489378751208</v>
      </c>
      <c r="G40" s="62">
        <v>30.567669242643554</v>
      </c>
      <c r="H40" s="62">
        <v>26.277841378605736</v>
      </c>
    </row>
    <row r="41" spans="1:8" s="19" customFormat="1" ht="14.1" customHeight="1" x14ac:dyDescent="0.25">
      <c r="A41" s="37"/>
      <c r="B41" s="38" t="s">
        <v>108</v>
      </c>
      <c r="C41" s="35"/>
      <c r="D41" s="169">
        <v>1244.592128861065</v>
      </c>
      <c r="E41" s="61">
        <v>100</v>
      </c>
      <c r="F41" s="62">
        <v>27.39942173885856</v>
      </c>
      <c r="G41" s="62">
        <v>14.4911523456651</v>
      </c>
      <c r="H41" s="62">
        <v>58.109425915476301</v>
      </c>
    </row>
    <row r="42" spans="1:8" s="19" customFormat="1" ht="14.1" customHeight="1" x14ac:dyDescent="0.25">
      <c r="A42" s="37"/>
      <c r="B42" s="38" t="s">
        <v>109</v>
      </c>
      <c r="C42" s="35"/>
      <c r="D42" s="169">
        <v>9701.8897503673998</v>
      </c>
      <c r="E42" s="61">
        <v>100</v>
      </c>
      <c r="F42" s="62">
        <v>17.747568476767611</v>
      </c>
      <c r="G42" s="62">
        <v>9.3151943553043388</v>
      </c>
      <c r="H42" s="62">
        <v>72.937237167926426</v>
      </c>
    </row>
    <row r="43" spans="1:8" s="19" customFormat="1" ht="14.1" customHeight="1" x14ac:dyDescent="0.25">
      <c r="A43" s="37"/>
      <c r="B43" s="38" t="s">
        <v>110</v>
      </c>
      <c r="C43" s="35"/>
      <c r="D43" s="169">
        <v>12380.7777044087</v>
      </c>
      <c r="E43" s="61">
        <v>100</v>
      </c>
      <c r="F43" s="62">
        <v>12.864225621645968</v>
      </c>
      <c r="G43" s="62">
        <v>7.3100271630087272</v>
      </c>
      <c r="H43" s="62">
        <v>79.825747215345217</v>
      </c>
    </row>
    <row r="44" spans="1:8" s="19" customFormat="1" ht="14.1" customHeight="1" x14ac:dyDescent="0.25">
      <c r="A44" s="37"/>
      <c r="B44" s="38" t="s">
        <v>111</v>
      </c>
      <c r="C44" s="35"/>
      <c r="D44" s="169">
        <v>15486.21561516228</v>
      </c>
      <c r="E44" s="61">
        <v>100</v>
      </c>
      <c r="F44" s="62">
        <v>11.010596626172028</v>
      </c>
      <c r="G44" s="62">
        <v>7.7829252796572268</v>
      </c>
      <c r="H44" s="62">
        <v>81.206478094171075</v>
      </c>
    </row>
    <row r="45" spans="1:8" s="19" customFormat="1" ht="14.1" customHeight="1" x14ac:dyDescent="0.25">
      <c r="A45" s="37"/>
      <c r="B45" s="38" t="s">
        <v>112</v>
      </c>
      <c r="C45" s="35"/>
      <c r="D45" s="169">
        <v>12901.869440115805</v>
      </c>
      <c r="E45" s="61">
        <v>100</v>
      </c>
      <c r="F45" s="62">
        <v>11.818980580064686</v>
      </c>
      <c r="G45" s="62">
        <v>9.6406120272558393</v>
      </c>
      <c r="H45" s="62">
        <v>78.540407392677579</v>
      </c>
    </row>
    <row r="46" spans="1:8" s="19" customFormat="1" ht="14.1" customHeight="1" x14ac:dyDescent="0.25">
      <c r="A46" s="37"/>
      <c r="B46" s="38" t="s">
        <v>113</v>
      </c>
      <c r="C46" s="35"/>
      <c r="D46" s="169">
        <v>5681.627942295253</v>
      </c>
      <c r="E46" s="61">
        <v>100</v>
      </c>
      <c r="F46" s="62">
        <v>12.848816415228208</v>
      </c>
      <c r="G46" s="62">
        <v>14.499600009009187</v>
      </c>
      <c r="H46" s="62">
        <v>72.651583575764676</v>
      </c>
    </row>
    <row r="47" spans="1:8" s="19" customFormat="1" ht="14.1" customHeight="1" x14ac:dyDescent="0.25">
      <c r="A47" s="37"/>
      <c r="B47" s="38" t="s">
        <v>114</v>
      </c>
      <c r="C47" s="35"/>
      <c r="D47" s="169">
        <v>11001.665017446103</v>
      </c>
      <c r="E47" s="61">
        <v>100</v>
      </c>
      <c r="F47" s="62">
        <v>19.693950511617633</v>
      </c>
      <c r="G47" s="62">
        <v>28.187164152594111</v>
      </c>
      <c r="H47" s="62">
        <v>52.118885335789948</v>
      </c>
    </row>
    <row r="48" spans="1:8" s="19" customFormat="1" ht="5.25" customHeight="1" x14ac:dyDescent="0.25">
      <c r="A48" s="39"/>
      <c r="B48" s="40"/>
      <c r="C48" s="41"/>
      <c r="D48" s="170"/>
      <c r="E48" s="83"/>
      <c r="F48" s="84"/>
      <c r="G48" s="84"/>
      <c r="H48" s="84"/>
    </row>
    <row r="49" spans="1:8" s="19" customFormat="1" ht="12.95" customHeight="1" x14ac:dyDescent="0.25">
      <c r="A49" s="37" t="s">
        <v>50</v>
      </c>
      <c r="B49" s="38"/>
      <c r="C49" s="36" t="s">
        <v>19</v>
      </c>
      <c r="D49" s="169"/>
      <c r="E49" s="61"/>
      <c r="F49" s="62"/>
      <c r="G49" s="62"/>
      <c r="H49" s="62"/>
    </row>
    <row r="50" spans="1:8" s="19" customFormat="1" ht="12.95" customHeight="1" x14ac:dyDescent="0.25">
      <c r="A50" s="37"/>
      <c r="B50" s="38" t="s">
        <v>3</v>
      </c>
      <c r="C50" s="35"/>
      <c r="D50" s="169">
        <v>3786.5522457076227</v>
      </c>
      <c r="E50" s="61">
        <v>100</v>
      </c>
      <c r="F50" s="62">
        <v>12.806225732738154</v>
      </c>
      <c r="G50" s="62">
        <v>36.221089252126596</v>
      </c>
      <c r="H50" s="62">
        <v>50.97268501513458</v>
      </c>
    </row>
    <row r="51" spans="1:8" s="19" customFormat="1" ht="12.95" customHeight="1" x14ac:dyDescent="0.25">
      <c r="A51" s="37"/>
      <c r="B51" s="38" t="s">
        <v>115</v>
      </c>
      <c r="C51" s="35"/>
      <c r="D51" s="169">
        <v>4923.4410037925854</v>
      </c>
      <c r="E51" s="61">
        <v>100</v>
      </c>
      <c r="F51" s="62">
        <v>10.327876775913063</v>
      </c>
      <c r="G51" s="62">
        <v>15.628746602837333</v>
      </c>
      <c r="H51" s="62">
        <v>74.04337662124874</v>
      </c>
    </row>
    <row r="52" spans="1:8" s="19" customFormat="1" ht="12.95" customHeight="1" x14ac:dyDescent="0.25">
      <c r="A52" s="37"/>
      <c r="B52" s="38" t="s">
        <v>116</v>
      </c>
      <c r="C52" s="35"/>
      <c r="D52" s="169">
        <v>18441.554918269685</v>
      </c>
      <c r="E52" s="61">
        <v>100</v>
      </c>
      <c r="F52" s="62">
        <v>13.35275446016959</v>
      </c>
      <c r="G52" s="62">
        <v>11.748444882218042</v>
      </c>
      <c r="H52" s="62">
        <v>74.898800657611005</v>
      </c>
    </row>
    <row r="53" spans="1:8" s="19" customFormat="1" ht="12.95" customHeight="1" x14ac:dyDescent="0.25">
      <c r="A53" s="37"/>
      <c r="B53" s="38" t="s">
        <v>51</v>
      </c>
      <c r="C53" s="35"/>
      <c r="D53" s="169">
        <v>7922.0578426915808</v>
      </c>
      <c r="E53" s="61">
        <v>100</v>
      </c>
      <c r="F53" s="62">
        <v>13.332429985384181</v>
      </c>
      <c r="G53" s="62">
        <v>12.233716978665427</v>
      </c>
      <c r="H53" s="62">
        <v>74.433853035950278</v>
      </c>
    </row>
    <row r="54" spans="1:8" s="19" customFormat="1" ht="12.95" customHeight="1" x14ac:dyDescent="0.25">
      <c r="A54" s="37"/>
      <c r="B54" s="38" t="s">
        <v>52</v>
      </c>
      <c r="C54" s="35"/>
      <c r="D54" s="169">
        <v>26294.604984239362</v>
      </c>
      <c r="E54" s="61">
        <v>100</v>
      </c>
      <c r="F54" s="62">
        <v>16.717873242458353</v>
      </c>
      <c r="G54" s="62">
        <v>10.969583186703302</v>
      </c>
      <c r="H54" s="62">
        <v>72.312543570840333</v>
      </c>
    </row>
    <row r="55" spans="1:8" s="19" customFormat="1" ht="12.95" customHeight="1" x14ac:dyDescent="0.25">
      <c r="A55" s="37"/>
      <c r="B55" s="38" t="s">
        <v>4</v>
      </c>
      <c r="C55" s="35"/>
      <c r="D55" s="169">
        <v>9180.3551914529417</v>
      </c>
      <c r="E55" s="61">
        <v>100</v>
      </c>
      <c r="F55" s="62">
        <v>19.883893100173388</v>
      </c>
      <c r="G55" s="62">
        <v>9.4147028445215604</v>
      </c>
      <c r="H55" s="62">
        <v>70.701404055303854</v>
      </c>
    </row>
    <row r="56" spans="1:8" s="19" customFormat="1" ht="12.95" customHeight="1" x14ac:dyDescent="0.25">
      <c r="A56" s="37"/>
      <c r="B56" s="38" t="s">
        <v>117</v>
      </c>
      <c r="C56" s="35"/>
      <c r="D56" s="169">
        <v>62.364153567023408</v>
      </c>
      <c r="E56" s="61">
        <v>100</v>
      </c>
      <c r="F56" s="62">
        <v>5.7140495284980739</v>
      </c>
      <c r="G56" s="62">
        <v>22.269641147593809</v>
      </c>
      <c r="H56" s="62">
        <v>72.016309323908118</v>
      </c>
    </row>
    <row r="57" spans="1:8" s="19" customFormat="1" ht="12.95" customHeight="1" x14ac:dyDescent="0.25">
      <c r="A57" s="33" t="s">
        <v>53</v>
      </c>
      <c r="B57" s="34"/>
      <c r="C57" s="36" t="s">
        <v>19</v>
      </c>
      <c r="D57" s="169"/>
      <c r="E57" s="61"/>
      <c r="F57" s="62"/>
      <c r="G57" s="62"/>
      <c r="H57" s="62"/>
    </row>
    <row r="58" spans="1:8" s="19" customFormat="1" ht="12.95" customHeight="1" x14ac:dyDescent="0.25">
      <c r="A58" s="37"/>
      <c r="B58" s="38" t="s">
        <v>54</v>
      </c>
      <c r="C58" s="35"/>
      <c r="D58" s="169">
        <v>1878.5857928453752</v>
      </c>
      <c r="E58" s="61">
        <v>100</v>
      </c>
      <c r="F58" s="62">
        <v>1.6782607396735818</v>
      </c>
      <c r="G58" s="62">
        <v>8.2344730490536033</v>
      </c>
      <c r="H58" s="62">
        <v>90.087266211272691</v>
      </c>
    </row>
    <row r="59" spans="1:8" s="19" customFormat="1" ht="12.95" customHeight="1" x14ac:dyDescent="0.25">
      <c r="A59" s="37"/>
      <c r="B59" s="38" t="s">
        <v>55</v>
      </c>
      <c r="C59" s="35"/>
      <c r="D59" s="169">
        <v>15119.962857395551</v>
      </c>
      <c r="E59" s="61">
        <v>100</v>
      </c>
      <c r="F59" s="62">
        <v>8.3469472345918625</v>
      </c>
      <c r="G59" s="62">
        <v>4.4181409130044411</v>
      </c>
      <c r="H59" s="62">
        <v>87.234911852402902</v>
      </c>
    </row>
    <row r="60" spans="1:8" s="19" customFormat="1" ht="12.95" customHeight="1" x14ac:dyDescent="0.25">
      <c r="A60" s="37"/>
      <c r="B60" s="38" t="s">
        <v>211</v>
      </c>
      <c r="C60" s="35"/>
      <c r="D60" s="169">
        <v>3209.3124900779635</v>
      </c>
      <c r="E60" s="61">
        <v>100</v>
      </c>
      <c r="F60" s="62">
        <v>11.519396483557937</v>
      </c>
      <c r="G60" s="62">
        <v>8.0536810974885142</v>
      </c>
      <c r="H60" s="62">
        <v>80.426922418953851</v>
      </c>
    </row>
    <row r="61" spans="1:8" s="19" customFormat="1" ht="12.95" customHeight="1" x14ac:dyDescent="0.25">
      <c r="A61" s="37"/>
      <c r="B61" s="38" t="s">
        <v>212</v>
      </c>
      <c r="C61" s="35"/>
      <c r="D61" s="169">
        <v>1980.807373242754</v>
      </c>
      <c r="E61" s="61">
        <v>100</v>
      </c>
      <c r="F61" s="62">
        <v>7.3743836044733158</v>
      </c>
      <c r="G61" s="62">
        <v>5.3169770227066024</v>
      </c>
      <c r="H61" s="62">
        <v>87.308639372820011</v>
      </c>
    </row>
    <row r="62" spans="1:8" s="19" customFormat="1" ht="12.95" customHeight="1" x14ac:dyDescent="0.25">
      <c r="A62" s="37"/>
      <c r="B62" s="38" t="s">
        <v>56</v>
      </c>
      <c r="C62" s="35"/>
      <c r="D62" s="169">
        <v>22814.891664435152</v>
      </c>
      <c r="E62" s="61">
        <v>100</v>
      </c>
      <c r="F62" s="62">
        <v>16.7597914486817</v>
      </c>
      <c r="G62" s="62">
        <v>9.2549395014085132</v>
      </c>
      <c r="H62" s="62">
        <v>73.985269049910173</v>
      </c>
    </row>
    <row r="63" spans="1:8" s="19" customFormat="1" ht="12.95" customHeight="1" x14ac:dyDescent="0.25">
      <c r="A63" s="37"/>
      <c r="B63" s="38" t="s">
        <v>57</v>
      </c>
      <c r="C63" s="35"/>
      <c r="D63" s="169">
        <v>4158.5920522640854</v>
      </c>
      <c r="E63" s="61">
        <v>100</v>
      </c>
      <c r="F63" s="62">
        <v>13.768020620064622</v>
      </c>
      <c r="G63" s="62">
        <v>7.408338483367122</v>
      </c>
      <c r="H63" s="62">
        <v>78.823640896567852</v>
      </c>
    </row>
    <row r="64" spans="1:8" s="19" customFormat="1" ht="12.95" customHeight="1" x14ac:dyDescent="0.25">
      <c r="A64" s="37"/>
      <c r="B64" s="38" t="s">
        <v>204</v>
      </c>
      <c r="C64" s="35"/>
      <c r="D64" s="169">
        <v>174.31089264812974</v>
      </c>
      <c r="E64" s="61">
        <v>100</v>
      </c>
      <c r="F64" s="62">
        <v>24.116533971176988</v>
      </c>
      <c r="G64" s="62">
        <v>10.239717819589151</v>
      </c>
      <c r="H64" s="62">
        <v>65.643748209233678</v>
      </c>
    </row>
    <row r="65" spans="1:8" s="19" customFormat="1" ht="12.95" customHeight="1" x14ac:dyDescent="0.25">
      <c r="A65" s="37"/>
      <c r="B65" s="38" t="s">
        <v>58</v>
      </c>
      <c r="C65" s="35"/>
      <c r="D65" s="169">
        <v>6245.5690893469473</v>
      </c>
      <c r="E65" s="61">
        <v>100</v>
      </c>
      <c r="F65" s="62">
        <v>16.491022727451146</v>
      </c>
      <c r="G65" s="62">
        <v>22.254308215539961</v>
      </c>
      <c r="H65" s="62">
        <v>61.254669057009082</v>
      </c>
    </row>
    <row r="66" spans="1:8" s="19" customFormat="1" ht="12.95" customHeight="1" x14ac:dyDescent="0.25">
      <c r="A66" s="37"/>
      <c r="B66" s="38" t="s">
        <v>59</v>
      </c>
      <c r="C66" s="35"/>
      <c r="D66" s="169">
        <v>8794.4336898108977</v>
      </c>
      <c r="E66" s="61">
        <v>100</v>
      </c>
      <c r="F66" s="62">
        <v>18.05964508713291</v>
      </c>
      <c r="G66" s="62">
        <v>29.414662406145919</v>
      </c>
      <c r="H66" s="62">
        <v>52.525692506721121</v>
      </c>
    </row>
    <row r="67" spans="1:8" s="19" customFormat="1" ht="12.95" customHeight="1" x14ac:dyDescent="0.25">
      <c r="A67" s="37"/>
      <c r="B67" s="38" t="s">
        <v>61</v>
      </c>
      <c r="C67" s="35"/>
      <c r="D67" s="169">
        <v>4247.7761134459652</v>
      </c>
      <c r="E67" s="61">
        <v>100</v>
      </c>
      <c r="F67" s="62">
        <v>38.867821157604979</v>
      </c>
      <c r="G67" s="62">
        <v>24.279765831409708</v>
      </c>
      <c r="H67" s="62">
        <v>36.852413010984726</v>
      </c>
    </row>
    <row r="68" spans="1:8" s="19" customFormat="1" ht="12.95" customHeight="1" x14ac:dyDescent="0.25">
      <c r="A68" s="37"/>
      <c r="B68" s="38" t="s">
        <v>60</v>
      </c>
      <c r="C68" s="35"/>
      <c r="D68" s="169">
        <v>1862.2945966107457</v>
      </c>
      <c r="E68" s="61">
        <v>100</v>
      </c>
      <c r="F68" s="62">
        <v>11.223281806935338</v>
      </c>
      <c r="G68" s="62">
        <v>21.721324082557601</v>
      </c>
      <c r="H68" s="62">
        <v>67.055394110506896</v>
      </c>
    </row>
    <row r="69" spans="1:8" s="19" customFormat="1" ht="12.95" customHeight="1" x14ac:dyDescent="0.25">
      <c r="A69" s="37"/>
      <c r="B69" s="38" t="s">
        <v>117</v>
      </c>
      <c r="C69" s="35"/>
      <c r="D69" s="169">
        <v>124.3937275971696</v>
      </c>
      <c r="E69" s="61">
        <v>100</v>
      </c>
      <c r="F69" s="62">
        <v>8.8695597563281048</v>
      </c>
      <c r="G69" s="62">
        <v>2.2498032013079858</v>
      </c>
      <c r="H69" s="62">
        <v>88.880637042363915</v>
      </c>
    </row>
    <row r="70" spans="1:8" s="19" customFormat="1" ht="12.95" customHeight="1" x14ac:dyDescent="0.25">
      <c r="A70" s="37" t="s">
        <v>5</v>
      </c>
      <c r="B70" s="38"/>
      <c r="C70" s="36" t="s">
        <v>19</v>
      </c>
      <c r="D70" s="169"/>
      <c r="E70" s="61"/>
      <c r="F70" s="62"/>
      <c r="G70" s="62"/>
      <c r="H70" s="62"/>
    </row>
    <row r="71" spans="1:8" s="19" customFormat="1" ht="12.95" customHeight="1" x14ac:dyDescent="0.25">
      <c r="A71" s="37"/>
      <c r="B71" s="38" t="s">
        <v>6</v>
      </c>
      <c r="C71" s="35"/>
      <c r="D71" s="169">
        <v>31606.999874662233</v>
      </c>
      <c r="E71" s="61">
        <v>100</v>
      </c>
      <c r="F71" s="62">
        <v>13.606960846471052</v>
      </c>
      <c r="G71" s="62">
        <v>6.2902718745452502</v>
      </c>
      <c r="H71" s="62">
        <v>80.102767278984118</v>
      </c>
    </row>
    <row r="72" spans="1:8" s="19" customFormat="1" ht="12.95" customHeight="1" x14ac:dyDescent="0.25">
      <c r="A72" s="37"/>
      <c r="B72" s="38" t="s">
        <v>7</v>
      </c>
      <c r="C72" s="35"/>
      <c r="D72" s="169">
        <v>3606.8268745052992</v>
      </c>
      <c r="E72" s="61">
        <v>100</v>
      </c>
      <c r="F72" s="62">
        <v>38.165368359905692</v>
      </c>
      <c r="G72" s="62">
        <v>24.897664048620673</v>
      </c>
      <c r="H72" s="62">
        <v>36.936967591473476</v>
      </c>
    </row>
    <row r="73" spans="1:8" s="19" customFormat="1" ht="12.95" customHeight="1" x14ac:dyDescent="0.25">
      <c r="A73" s="37"/>
      <c r="B73" s="38" t="s">
        <v>122</v>
      </c>
      <c r="C73" s="35"/>
      <c r="D73" s="169">
        <v>3348.0547469002399</v>
      </c>
      <c r="E73" s="61">
        <v>100</v>
      </c>
      <c r="F73" s="62">
        <v>13.903588997644404</v>
      </c>
      <c r="G73" s="62">
        <v>2.7532790732418255</v>
      </c>
      <c r="H73" s="62">
        <v>83.343131929113596</v>
      </c>
    </row>
    <row r="74" spans="1:8" s="19" customFormat="1" ht="12.95" customHeight="1" x14ac:dyDescent="0.25">
      <c r="A74" s="37"/>
      <c r="B74" s="38" t="s">
        <v>8</v>
      </c>
      <c r="C74" s="35"/>
      <c r="D74" s="169">
        <v>11328.843511083951</v>
      </c>
      <c r="E74" s="61">
        <v>100</v>
      </c>
      <c r="F74" s="62">
        <v>6.5640602224227615</v>
      </c>
      <c r="G74" s="62">
        <v>17.34913122792307</v>
      </c>
      <c r="H74" s="62">
        <v>76.086808549653426</v>
      </c>
    </row>
    <row r="75" spans="1:8" s="19" customFormat="1" ht="12.95" customHeight="1" x14ac:dyDescent="0.25">
      <c r="A75" s="37"/>
      <c r="B75" s="38" t="s">
        <v>9</v>
      </c>
      <c r="C75" s="35"/>
      <c r="D75" s="169">
        <v>11810.021986269219</v>
      </c>
      <c r="E75" s="61">
        <v>100</v>
      </c>
      <c r="F75" s="62">
        <v>17.322539870066858</v>
      </c>
      <c r="G75" s="62">
        <v>9.8973776438854326</v>
      </c>
      <c r="H75" s="62">
        <v>72.780082486048357</v>
      </c>
    </row>
    <row r="76" spans="1:8" s="19" customFormat="1" ht="12.95" customHeight="1" x14ac:dyDescent="0.25">
      <c r="A76" s="37"/>
      <c r="B76" s="38" t="s">
        <v>10</v>
      </c>
      <c r="C76" s="35"/>
      <c r="D76" s="169">
        <v>8910.1833462995219</v>
      </c>
      <c r="E76" s="61">
        <v>100</v>
      </c>
      <c r="F76" s="62">
        <v>20.254302211180477</v>
      </c>
      <c r="G76" s="62">
        <v>32.846227403541569</v>
      </c>
      <c r="H76" s="62">
        <v>46.899470385279294</v>
      </c>
    </row>
    <row r="77" spans="1:8" s="19" customFormat="1" ht="12.95" customHeight="1" x14ac:dyDescent="0.25">
      <c r="A77" s="37" t="s">
        <v>72</v>
      </c>
      <c r="B77" s="38"/>
      <c r="C77" s="36" t="s">
        <v>19</v>
      </c>
      <c r="D77" s="169"/>
      <c r="E77" s="61"/>
      <c r="F77" s="62"/>
      <c r="G77" s="62"/>
      <c r="H77" s="62"/>
    </row>
    <row r="78" spans="1:8" s="19" customFormat="1" ht="12.95" customHeight="1" x14ac:dyDescent="0.25">
      <c r="A78" s="37"/>
      <c r="B78" s="38" t="s">
        <v>163</v>
      </c>
      <c r="C78" s="35"/>
      <c r="D78" s="169">
        <v>4683.7900156023434</v>
      </c>
      <c r="E78" s="61">
        <v>100</v>
      </c>
      <c r="F78" s="62">
        <v>19.486985973587561</v>
      </c>
      <c r="G78" s="62">
        <v>17.117370744549774</v>
      </c>
      <c r="H78" s="62">
        <v>63.395643281863066</v>
      </c>
    </row>
    <row r="79" spans="1:8" s="19" customFormat="1" ht="12.95" customHeight="1" x14ac:dyDescent="0.25">
      <c r="A79" s="37"/>
      <c r="B79" s="38" t="s">
        <v>124</v>
      </c>
      <c r="C79" s="35"/>
      <c r="D79" s="169">
        <v>17142.862766269471</v>
      </c>
      <c r="E79" s="61">
        <v>100</v>
      </c>
      <c r="F79" s="62">
        <v>13.795958810575438</v>
      </c>
      <c r="G79" s="62">
        <v>11.320498554390062</v>
      </c>
      <c r="H79" s="62">
        <v>74.883542635034217</v>
      </c>
    </row>
    <row r="80" spans="1:8" s="19" customFormat="1" ht="12.95" customHeight="1" x14ac:dyDescent="0.25">
      <c r="A80" s="37"/>
      <c r="B80" s="38" t="s">
        <v>213</v>
      </c>
      <c r="C80" s="35"/>
      <c r="D80" s="169">
        <v>7721.1326464049171</v>
      </c>
      <c r="E80" s="61">
        <v>100</v>
      </c>
      <c r="F80" s="62">
        <v>14.64510795596301</v>
      </c>
      <c r="G80" s="62">
        <v>15.771235376106238</v>
      </c>
      <c r="H80" s="62">
        <v>69.583656667930825</v>
      </c>
    </row>
    <row r="81" spans="1:8" s="19" customFormat="1" ht="12.95" customHeight="1" x14ac:dyDescent="0.25">
      <c r="A81" s="37"/>
      <c r="B81" s="38" t="s">
        <v>215</v>
      </c>
      <c r="C81" s="35"/>
      <c r="D81" s="169">
        <v>5848.7720376096431</v>
      </c>
      <c r="E81" s="61">
        <v>100</v>
      </c>
      <c r="F81" s="62">
        <v>13.705545367870743</v>
      </c>
      <c r="G81" s="62">
        <v>16.14503094150113</v>
      </c>
      <c r="H81" s="62">
        <v>70.149423690627955</v>
      </c>
    </row>
    <row r="82" spans="1:8" s="19" customFormat="1" ht="12.95" customHeight="1" x14ac:dyDescent="0.25">
      <c r="A82" s="37"/>
      <c r="B82" s="38" t="s">
        <v>217</v>
      </c>
      <c r="C82" s="35"/>
      <c r="D82" s="169">
        <v>3827.1054124698408</v>
      </c>
      <c r="E82" s="61">
        <v>100</v>
      </c>
      <c r="F82" s="62">
        <v>18.028317116121649</v>
      </c>
      <c r="G82" s="62">
        <v>12.511041042435997</v>
      </c>
      <c r="H82" s="62">
        <v>69.460641841442069</v>
      </c>
    </row>
    <row r="83" spans="1:8" s="19" customFormat="1" ht="12.95" customHeight="1" x14ac:dyDescent="0.25">
      <c r="A83" s="37"/>
      <c r="B83" s="38" t="s">
        <v>218</v>
      </c>
      <c r="C83" s="35"/>
      <c r="D83" s="169">
        <v>6544.4595757939296</v>
      </c>
      <c r="E83" s="61">
        <v>100</v>
      </c>
      <c r="F83" s="62">
        <v>16.575996998945985</v>
      </c>
      <c r="G83" s="62">
        <v>14.211427754000926</v>
      </c>
      <c r="H83" s="62">
        <v>69.212575247053067</v>
      </c>
    </row>
    <row r="84" spans="1:8" s="19" customFormat="1" ht="12.95" customHeight="1" x14ac:dyDescent="0.25">
      <c r="A84" s="37"/>
      <c r="B84" s="38" t="s">
        <v>125</v>
      </c>
      <c r="C84" s="35"/>
      <c r="D84" s="169">
        <v>15609.161839479499</v>
      </c>
      <c r="E84" s="61">
        <v>100</v>
      </c>
      <c r="F84" s="62">
        <v>15.594675506178435</v>
      </c>
      <c r="G84" s="62">
        <v>9.7666942075678396</v>
      </c>
      <c r="H84" s="62">
        <v>74.638630286253132</v>
      </c>
    </row>
    <row r="85" spans="1:8" s="19" customFormat="1" ht="12.95" customHeight="1" x14ac:dyDescent="0.25">
      <c r="A85" s="37"/>
      <c r="B85" s="38" t="s">
        <v>158</v>
      </c>
      <c r="C85" s="35"/>
      <c r="D85" s="169">
        <v>7146.8427548671116</v>
      </c>
      <c r="E85" s="61">
        <v>100</v>
      </c>
      <c r="F85" s="62">
        <v>14.879630048066709</v>
      </c>
      <c r="G85" s="62">
        <v>12.746302023426848</v>
      </c>
      <c r="H85" s="62">
        <v>72.374067928506662</v>
      </c>
    </row>
    <row r="86" spans="1:8" s="19" customFormat="1" ht="12.95" customHeight="1" x14ac:dyDescent="0.25">
      <c r="A86" s="37"/>
      <c r="B86" s="38" t="s">
        <v>159</v>
      </c>
      <c r="C86" s="35"/>
      <c r="D86" s="169">
        <v>1190.8024905235177</v>
      </c>
      <c r="E86" s="61">
        <v>100</v>
      </c>
      <c r="F86" s="62">
        <v>14.279989731036974</v>
      </c>
      <c r="G86" s="62">
        <v>9.1343189786351981</v>
      </c>
      <c r="H86" s="62">
        <v>76.585691290327787</v>
      </c>
    </row>
    <row r="87" spans="1:8" s="19" customFormat="1" ht="12.95" customHeight="1" x14ac:dyDescent="0.25">
      <c r="A87" s="37"/>
      <c r="B87" s="38" t="s">
        <v>75</v>
      </c>
      <c r="C87" s="35"/>
      <c r="D87" s="169">
        <v>896.00080070044635</v>
      </c>
      <c r="E87" s="61">
        <v>100</v>
      </c>
      <c r="F87" s="62">
        <v>9.4159926532645688</v>
      </c>
      <c r="G87" s="62">
        <v>20.296467148416575</v>
      </c>
      <c r="H87" s="62">
        <v>70.287540198318865</v>
      </c>
    </row>
    <row r="88" spans="1:8" s="52" customFormat="1" ht="9.9499999999999993" customHeight="1" x14ac:dyDescent="0.25">
      <c r="A88" s="63"/>
      <c r="B88" s="64"/>
      <c r="C88" s="142"/>
      <c r="D88" s="171"/>
      <c r="E88" s="67"/>
      <c r="F88" s="69"/>
      <c r="G88" s="69"/>
      <c r="H88" s="69"/>
    </row>
    <row r="89" spans="1:8" s="73" customFormat="1" ht="9.9499999999999993" customHeight="1" x14ac:dyDescent="0.25">
      <c r="A89" s="30"/>
      <c r="B89" s="70"/>
      <c r="C89" s="143"/>
      <c r="D89" s="172"/>
      <c r="E89" s="110"/>
      <c r="F89" s="71"/>
      <c r="G89" s="71"/>
      <c r="H89" s="71"/>
    </row>
    <row r="90" spans="1:8" s="19" customFormat="1" ht="12.95" customHeight="1" x14ac:dyDescent="0.25">
      <c r="A90" s="37" t="s">
        <v>62</v>
      </c>
      <c r="B90" s="38"/>
      <c r="C90" s="36" t="s">
        <v>19</v>
      </c>
      <c r="D90" s="169"/>
      <c r="E90" s="61"/>
      <c r="F90" s="62"/>
      <c r="G90" s="62"/>
      <c r="H90" s="62"/>
    </row>
    <row r="91" spans="1:8" s="19" customFormat="1" ht="12.95" customHeight="1" x14ac:dyDescent="0.25">
      <c r="A91" s="37"/>
      <c r="B91" s="38" t="s">
        <v>129</v>
      </c>
      <c r="C91" s="35"/>
      <c r="D91" s="169">
        <v>51584.020474229335</v>
      </c>
      <c r="E91" s="61">
        <v>100</v>
      </c>
      <c r="F91" s="62">
        <v>16.280609049986591</v>
      </c>
      <c r="G91" s="62">
        <v>12.327536556495888</v>
      </c>
      <c r="H91" s="62">
        <v>71.391854393517278</v>
      </c>
    </row>
    <row r="92" spans="1:8" s="19" customFormat="1" ht="12.95" customHeight="1" x14ac:dyDescent="0.25">
      <c r="A92" s="37"/>
      <c r="B92" s="38" t="s">
        <v>130</v>
      </c>
      <c r="C92" s="35"/>
      <c r="D92" s="169">
        <v>82437.596381037714</v>
      </c>
      <c r="E92" s="61">
        <v>100</v>
      </c>
      <c r="F92" s="62">
        <v>16.62892728474732</v>
      </c>
      <c r="G92" s="62">
        <v>12.139913010009277</v>
      </c>
      <c r="H92" s="62">
        <v>71.231159705247734</v>
      </c>
    </row>
    <row r="93" spans="1:8" s="19" customFormat="1" ht="12.95" customHeight="1" x14ac:dyDescent="0.25">
      <c r="A93" s="37"/>
      <c r="B93" s="38" t="s">
        <v>131</v>
      </c>
      <c r="C93" s="35"/>
      <c r="D93" s="169">
        <v>82848.940605586831</v>
      </c>
      <c r="E93" s="61">
        <v>100</v>
      </c>
      <c r="F93" s="62">
        <v>17.479404740245041</v>
      </c>
      <c r="G93" s="62">
        <v>10.880159460061707</v>
      </c>
      <c r="H93" s="62">
        <v>71.640435799697826</v>
      </c>
    </row>
    <row r="94" spans="1:8" s="19" customFormat="1" ht="12.95" customHeight="1" x14ac:dyDescent="0.25">
      <c r="A94" s="37"/>
      <c r="B94" s="38" t="s">
        <v>132</v>
      </c>
      <c r="C94" s="35"/>
      <c r="D94" s="169">
        <v>82720.677006097045</v>
      </c>
      <c r="E94" s="61">
        <v>100</v>
      </c>
      <c r="F94" s="62">
        <v>17.494470293073743</v>
      </c>
      <c r="G94" s="62">
        <v>11.780345925082148</v>
      </c>
      <c r="H94" s="62">
        <v>70.725183781844237</v>
      </c>
    </row>
    <row r="95" spans="1:8" s="19" customFormat="1" ht="12.95" customHeight="1" x14ac:dyDescent="0.25">
      <c r="A95" s="37"/>
      <c r="B95" s="38" t="s">
        <v>133</v>
      </c>
      <c r="C95" s="35"/>
      <c r="D95" s="169">
        <v>78529.517515162443</v>
      </c>
      <c r="E95" s="61">
        <v>100</v>
      </c>
      <c r="F95" s="62">
        <v>17.804580978786625</v>
      </c>
      <c r="G95" s="62">
        <v>11.780119584682518</v>
      </c>
      <c r="H95" s="62">
        <v>70.415299436528429</v>
      </c>
    </row>
    <row r="96" spans="1:8" s="19" customFormat="1" ht="12.95" customHeight="1" x14ac:dyDescent="0.25">
      <c r="A96" s="37"/>
      <c r="B96" s="38" t="s">
        <v>134</v>
      </c>
      <c r="C96" s="35"/>
      <c r="D96" s="169">
        <v>81532.156374389102</v>
      </c>
      <c r="E96" s="61">
        <v>100</v>
      </c>
      <c r="F96" s="62">
        <v>17.853987787657413</v>
      </c>
      <c r="G96" s="62">
        <v>11.318420380117564</v>
      </c>
      <c r="H96" s="62">
        <v>70.82759183222737</v>
      </c>
    </row>
    <row r="97" spans="1:8" s="19" customFormat="1" ht="12.95" customHeight="1" x14ac:dyDescent="0.25">
      <c r="A97" s="37"/>
      <c r="B97" s="38" t="s">
        <v>135</v>
      </c>
      <c r="C97" s="35"/>
      <c r="D97" s="169">
        <v>80971.411055567252</v>
      </c>
      <c r="E97" s="61">
        <v>100</v>
      </c>
      <c r="F97" s="62">
        <v>17.948432724325144</v>
      </c>
      <c r="G97" s="62">
        <v>10.735393568121165</v>
      </c>
      <c r="H97" s="62">
        <v>71.316173707554569</v>
      </c>
    </row>
    <row r="98" spans="1:8" s="19" customFormat="1" ht="12.95" customHeight="1" x14ac:dyDescent="0.25">
      <c r="A98" s="37"/>
      <c r="B98" s="38" t="s">
        <v>136</v>
      </c>
      <c r="C98" s="35"/>
      <c r="D98" s="169">
        <v>82778.835474371488</v>
      </c>
      <c r="E98" s="61">
        <v>100</v>
      </c>
      <c r="F98" s="62">
        <v>18.126402473492295</v>
      </c>
      <c r="G98" s="62">
        <v>11.230207299618938</v>
      </c>
      <c r="H98" s="62">
        <v>70.643390226889849</v>
      </c>
    </row>
    <row r="99" spans="1:8" s="19" customFormat="1" ht="12.95" customHeight="1" x14ac:dyDescent="0.25">
      <c r="A99" s="37"/>
      <c r="B99" s="38" t="s">
        <v>192</v>
      </c>
      <c r="C99" s="35"/>
      <c r="D99" s="169">
        <v>75783.370034728927</v>
      </c>
      <c r="E99" s="61">
        <v>100</v>
      </c>
      <c r="F99" s="62">
        <v>15.965485245854135</v>
      </c>
      <c r="G99" s="62">
        <v>11.721091929712211</v>
      </c>
      <c r="H99" s="62">
        <v>72.313422824430219</v>
      </c>
    </row>
    <row r="100" spans="1:8" s="19" customFormat="1" ht="12.95" customHeight="1" x14ac:dyDescent="0.25">
      <c r="A100" s="37"/>
      <c r="B100" s="38" t="s">
        <v>194</v>
      </c>
      <c r="C100" s="35"/>
      <c r="D100" s="169">
        <v>74147.462713998742</v>
      </c>
      <c r="E100" s="61">
        <v>100</v>
      </c>
      <c r="F100" s="62">
        <v>14.27280407896597</v>
      </c>
      <c r="G100" s="62">
        <v>13.383618254874062</v>
      </c>
      <c r="H100" s="62">
        <v>72.343577666157813</v>
      </c>
    </row>
    <row r="101" spans="1:8" s="19" customFormat="1" ht="12.95" customHeight="1" x14ac:dyDescent="0.25">
      <c r="A101" s="37"/>
      <c r="B101" s="38" t="s">
        <v>205</v>
      </c>
      <c r="C101" s="35"/>
      <c r="D101" s="169">
        <f t="shared" ref="D101:H101" si="0">D$9</f>
        <v>70610.930339720711</v>
      </c>
      <c r="E101" s="61">
        <f t="shared" si="0"/>
        <v>100</v>
      </c>
      <c r="F101" s="62">
        <f t="shared" si="0"/>
        <v>15.205767606449871</v>
      </c>
      <c r="G101" s="62">
        <f t="shared" si="0"/>
        <v>12.801645008640049</v>
      </c>
      <c r="H101" s="62">
        <f t="shared" si="0"/>
        <v>71.99258738491406</v>
      </c>
    </row>
    <row r="102" spans="1:8" s="23" customFormat="1" ht="3" customHeight="1" x14ac:dyDescent="0.25">
      <c r="A102" s="39"/>
      <c r="B102" s="40"/>
      <c r="C102" s="41"/>
      <c r="D102" s="164"/>
      <c r="E102" s="165"/>
      <c r="F102" s="166"/>
      <c r="G102" s="166"/>
      <c r="H102" s="166"/>
    </row>
  </sheetData>
  <mergeCells count="9">
    <mergeCell ref="A1:H1"/>
    <mergeCell ref="A3:H3"/>
    <mergeCell ref="A5:C7"/>
    <mergeCell ref="E5:E7"/>
    <mergeCell ref="F6:F7"/>
    <mergeCell ref="G6:G7"/>
    <mergeCell ref="H6:H7"/>
    <mergeCell ref="A2:H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7F0F-E9F2-4A95-BA3C-0328AD950E46}">
  <sheetPr codeName="工作表23"/>
  <dimension ref="A1:M102"/>
  <sheetViews>
    <sheetView showGridLines="0" view="pageBreakPreview" zoomScale="110" zoomScaleNormal="100" zoomScaleSheetLayoutView="110" workbookViewId="0">
      <selection sqref="A1:M1"/>
    </sheetView>
  </sheetViews>
  <sheetFormatPr defaultColWidth="9" defaultRowHeight="11.1" customHeight="1" x14ac:dyDescent="0.25"/>
  <cols>
    <col min="1" max="1" width="1.25" style="18" customWidth="1"/>
    <col min="2" max="2" width="13.75" style="44" customWidth="1"/>
    <col min="3" max="3" width="1.5" style="48" customWidth="1"/>
    <col min="4" max="4" width="6.625" style="46" customWidth="1"/>
    <col min="5" max="8" width="6.625" style="47" customWidth="1"/>
    <col min="9" max="9" width="6.625" style="46" customWidth="1"/>
    <col min="10" max="13" width="6.625" style="47" customWidth="1"/>
    <col min="14" max="16384" width="9" style="46"/>
  </cols>
  <sheetData>
    <row r="1" spans="1:13" s="14" customFormat="1" ht="22.15" customHeight="1" x14ac:dyDescent="0.25">
      <c r="A1" s="255" t="s">
        <v>242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3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3" spans="1:13" s="19" customFormat="1" ht="13.5" customHeight="1" x14ac:dyDescent="0.25">
      <c r="A3" s="257" t="s">
        <v>103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5"/>
      <c r="J4" s="26"/>
      <c r="K4" s="26"/>
      <c r="L4" s="26"/>
      <c r="M4" s="27" t="s">
        <v>160</v>
      </c>
    </row>
    <row r="5" spans="1:13" s="122" customFormat="1" ht="19.5" customHeight="1" x14ac:dyDescent="0.25">
      <c r="A5" s="258" t="s">
        <v>21</v>
      </c>
      <c r="B5" s="258"/>
      <c r="C5" s="259"/>
      <c r="D5" s="279" t="s">
        <v>313</v>
      </c>
      <c r="E5" s="280"/>
      <c r="F5" s="280"/>
      <c r="G5" s="280"/>
      <c r="H5" s="281"/>
      <c r="I5" s="279" t="s">
        <v>314</v>
      </c>
      <c r="J5" s="280"/>
      <c r="K5" s="280"/>
      <c r="L5" s="280"/>
      <c r="M5" s="280"/>
    </row>
    <row r="6" spans="1:13" s="19" customFormat="1" ht="9" customHeight="1" x14ac:dyDescent="0.25">
      <c r="A6" s="260"/>
      <c r="B6" s="260"/>
      <c r="C6" s="261"/>
      <c r="D6" s="278" t="s">
        <v>312</v>
      </c>
      <c r="E6" s="265" t="s">
        <v>81</v>
      </c>
      <c r="F6" s="52"/>
      <c r="G6" s="52"/>
      <c r="H6" s="153"/>
      <c r="I6" s="278" t="s">
        <v>312</v>
      </c>
      <c r="J6" s="265" t="s">
        <v>81</v>
      </c>
      <c r="K6" s="52"/>
      <c r="L6" s="52"/>
      <c r="M6" s="52"/>
    </row>
    <row r="7" spans="1:13" s="19" customFormat="1" ht="9.75" customHeight="1" x14ac:dyDescent="0.25">
      <c r="A7" s="260"/>
      <c r="B7" s="260"/>
      <c r="C7" s="261"/>
      <c r="D7" s="261"/>
      <c r="E7" s="265"/>
      <c r="F7" s="282" t="s">
        <v>177</v>
      </c>
      <c r="G7" s="270" t="s">
        <v>11</v>
      </c>
      <c r="H7" s="270" t="s">
        <v>90</v>
      </c>
      <c r="I7" s="261"/>
      <c r="J7" s="265"/>
      <c r="K7" s="282" t="s">
        <v>177</v>
      </c>
      <c r="L7" s="270" t="s">
        <v>11</v>
      </c>
      <c r="M7" s="272" t="s">
        <v>90</v>
      </c>
    </row>
    <row r="8" spans="1:13" s="19" customFormat="1" ht="35.25" customHeight="1" x14ac:dyDescent="0.25">
      <c r="A8" s="262"/>
      <c r="B8" s="262"/>
      <c r="C8" s="263"/>
      <c r="D8" s="263"/>
      <c r="E8" s="266"/>
      <c r="F8" s="271"/>
      <c r="G8" s="271"/>
      <c r="H8" s="271"/>
      <c r="I8" s="263"/>
      <c r="J8" s="266"/>
      <c r="K8" s="271"/>
      <c r="L8" s="271"/>
      <c r="M8" s="273"/>
    </row>
    <row r="9" spans="1:13" s="19" customFormat="1" ht="14.1" customHeight="1" x14ac:dyDescent="0.25">
      <c r="A9" s="33" t="s">
        <v>22</v>
      </c>
      <c r="B9" s="34"/>
      <c r="C9" s="35"/>
      <c r="D9" s="55">
        <v>34519.18782160306</v>
      </c>
      <c r="E9" s="57">
        <v>100</v>
      </c>
      <c r="F9" s="58">
        <v>11.031506117200557</v>
      </c>
      <c r="G9" s="58">
        <v>10.78128131460055</v>
      </c>
      <c r="H9" s="58">
        <v>78.187212568199271</v>
      </c>
      <c r="I9" s="154">
        <v>36091.742518120955</v>
      </c>
      <c r="J9" s="57">
        <v>100</v>
      </c>
      <c r="K9" s="58">
        <v>19.198152188366031</v>
      </c>
      <c r="L9" s="58">
        <v>14.733979358732533</v>
      </c>
      <c r="M9" s="58">
        <v>66.067868452893762</v>
      </c>
    </row>
    <row r="10" spans="1:13" s="19" customFormat="1" ht="14.1" customHeight="1" x14ac:dyDescent="0.25">
      <c r="A10" s="37" t="s">
        <v>23</v>
      </c>
      <c r="B10" s="38"/>
      <c r="C10" s="36"/>
      <c r="D10" s="36"/>
      <c r="E10" s="61"/>
      <c r="F10" s="62"/>
      <c r="G10" s="62"/>
      <c r="H10" s="62"/>
      <c r="I10" s="156"/>
      <c r="J10" s="61"/>
      <c r="K10" s="62"/>
      <c r="L10" s="62"/>
      <c r="M10" s="62"/>
    </row>
    <row r="11" spans="1:13" s="19" customFormat="1" ht="14.1" customHeight="1" x14ac:dyDescent="0.25">
      <c r="A11" s="37"/>
      <c r="B11" s="38" t="s">
        <v>24</v>
      </c>
      <c r="C11" s="35"/>
      <c r="D11" s="36">
        <v>5745.1116078646655</v>
      </c>
      <c r="E11" s="61">
        <v>100</v>
      </c>
      <c r="F11" s="62">
        <v>18.022899498726996</v>
      </c>
      <c r="G11" s="62">
        <v>10.299361359080079</v>
      </c>
      <c r="H11" s="62">
        <v>71.677739142193545</v>
      </c>
      <c r="I11" s="156">
        <v>6080.6684472810275</v>
      </c>
      <c r="J11" s="61">
        <v>100</v>
      </c>
      <c r="K11" s="62">
        <v>39.414732201389803</v>
      </c>
      <c r="L11" s="62">
        <v>21.73620347751503</v>
      </c>
      <c r="M11" s="62">
        <v>38.849064321094765</v>
      </c>
    </row>
    <row r="12" spans="1:13" s="19" customFormat="1" ht="14.1" customHeight="1" x14ac:dyDescent="0.25">
      <c r="A12" s="37"/>
      <c r="B12" s="38" t="s">
        <v>25</v>
      </c>
      <c r="C12" s="35"/>
      <c r="D12" s="36">
        <v>3585.7861531271778</v>
      </c>
      <c r="E12" s="61">
        <v>100</v>
      </c>
      <c r="F12" s="62">
        <v>28.335742455975787</v>
      </c>
      <c r="G12" s="62">
        <v>19.954016528368719</v>
      </c>
      <c r="H12" s="62">
        <v>51.71024101565537</v>
      </c>
      <c r="I12" s="156">
        <v>4385.5321289858193</v>
      </c>
      <c r="J12" s="61">
        <v>100</v>
      </c>
      <c r="K12" s="62">
        <v>46.50409894628369</v>
      </c>
      <c r="L12" s="62">
        <v>28.598765635011322</v>
      </c>
      <c r="M12" s="62">
        <v>24.897135418704487</v>
      </c>
    </row>
    <row r="13" spans="1:13" s="19" customFormat="1" ht="14.1" customHeight="1" x14ac:dyDescent="0.25">
      <c r="A13" s="37"/>
      <c r="B13" s="38" t="s">
        <v>26</v>
      </c>
      <c r="C13" s="35"/>
      <c r="D13" s="36">
        <v>3431.2777683229424</v>
      </c>
      <c r="E13" s="61">
        <v>100</v>
      </c>
      <c r="F13" s="62">
        <v>6.6166673293931986</v>
      </c>
      <c r="G13" s="62">
        <v>10.258301969941744</v>
      </c>
      <c r="H13" s="62">
        <v>83.12503070066532</v>
      </c>
      <c r="I13" s="156">
        <v>3874.1554962470677</v>
      </c>
      <c r="J13" s="61">
        <v>100</v>
      </c>
      <c r="K13" s="62">
        <v>18.547350065412694</v>
      </c>
      <c r="L13" s="62">
        <v>17.323660838413296</v>
      </c>
      <c r="M13" s="62">
        <v>64.128989096174209</v>
      </c>
    </row>
    <row r="14" spans="1:13" s="19" customFormat="1" ht="14.1" customHeight="1" x14ac:dyDescent="0.25">
      <c r="A14" s="37"/>
      <c r="B14" s="38" t="s">
        <v>27</v>
      </c>
      <c r="C14" s="35"/>
      <c r="D14" s="36">
        <v>3775.9489862961741</v>
      </c>
      <c r="E14" s="61">
        <v>100</v>
      </c>
      <c r="F14" s="62">
        <v>8.8052520832019212</v>
      </c>
      <c r="G14" s="62">
        <v>8.9269016675064368</v>
      </c>
      <c r="H14" s="62">
        <v>82.267846249291651</v>
      </c>
      <c r="I14" s="156">
        <v>3563.5947195540625</v>
      </c>
      <c r="J14" s="61">
        <v>100</v>
      </c>
      <c r="K14" s="62">
        <v>9.2233390682580616</v>
      </c>
      <c r="L14" s="62">
        <v>9.8788663720934906</v>
      </c>
      <c r="M14" s="62">
        <v>80.897794559648517</v>
      </c>
    </row>
    <row r="15" spans="1:13" s="19" customFormat="1" ht="14.1" customHeight="1" x14ac:dyDescent="0.25">
      <c r="A15" s="37"/>
      <c r="B15" s="38" t="s">
        <v>28</v>
      </c>
      <c r="C15" s="35"/>
      <c r="D15" s="36">
        <v>2969.5470319479318</v>
      </c>
      <c r="E15" s="61">
        <v>100</v>
      </c>
      <c r="F15" s="62">
        <v>3.0855790522404205</v>
      </c>
      <c r="G15" s="62">
        <v>9.3025518819641491</v>
      </c>
      <c r="H15" s="62">
        <v>87.611869065795645</v>
      </c>
      <c r="I15" s="156">
        <v>3182.3693301852018</v>
      </c>
      <c r="J15" s="61">
        <v>100</v>
      </c>
      <c r="K15" s="62">
        <v>6.6460261375452001</v>
      </c>
      <c r="L15" s="62">
        <v>10.643941867154705</v>
      </c>
      <c r="M15" s="62">
        <v>82.710031995299985</v>
      </c>
    </row>
    <row r="16" spans="1:13" s="19" customFormat="1" ht="14.1" customHeight="1" x14ac:dyDescent="0.25">
      <c r="A16" s="37"/>
      <c r="B16" s="38" t="s">
        <v>29</v>
      </c>
      <c r="C16" s="35"/>
      <c r="D16" s="36">
        <v>4586.6522045369156</v>
      </c>
      <c r="E16" s="61">
        <v>100</v>
      </c>
      <c r="F16" s="62">
        <v>12.009960480409989</v>
      </c>
      <c r="G16" s="62">
        <v>8.6737585279198974</v>
      </c>
      <c r="H16" s="62">
        <v>79.31628099166997</v>
      </c>
      <c r="I16" s="156">
        <v>4614.1437229171961</v>
      </c>
      <c r="J16" s="61">
        <v>100</v>
      </c>
      <c r="K16" s="62">
        <v>8.3821827855274371</v>
      </c>
      <c r="L16" s="62">
        <v>8.5323905723022975</v>
      </c>
      <c r="M16" s="62">
        <v>83.08542664216975</v>
      </c>
    </row>
    <row r="17" spans="1:13" s="19" customFormat="1" ht="14.1" customHeight="1" x14ac:dyDescent="0.25">
      <c r="A17" s="37"/>
      <c r="B17" s="38" t="s">
        <v>30</v>
      </c>
      <c r="C17" s="35"/>
      <c r="D17" s="36">
        <v>689.65949462643084</v>
      </c>
      <c r="E17" s="61">
        <v>100</v>
      </c>
      <c r="F17" s="62">
        <v>5.2552870371837033</v>
      </c>
      <c r="G17" s="62">
        <v>14.594419661021755</v>
      </c>
      <c r="H17" s="62">
        <v>80.150293301795202</v>
      </c>
      <c r="I17" s="156">
        <v>811.20556812091365</v>
      </c>
      <c r="J17" s="61">
        <v>100</v>
      </c>
      <c r="K17" s="62">
        <v>10.925832081688332</v>
      </c>
      <c r="L17" s="62">
        <v>8.2623542529320506</v>
      </c>
      <c r="M17" s="62">
        <v>80.811813665379816</v>
      </c>
    </row>
    <row r="18" spans="1:13" s="19" customFormat="1" ht="14.1" customHeight="1" x14ac:dyDescent="0.25">
      <c r="A18" s="37"/>
      <c r="B18" s="38" t="s">
        <v>31</v>
      </c>
      <c r="C18" s="35"/>
      <c r="D18" s="36">
        <v>838.18411667291889</v>
      </c>
      <c r="E18" s="61">
        <v>100</v>
      </c>
      <c r="F18" s="62">
        <v>6.4556987585455596</v>
      </c>
      <c r="G18" s="62">
        <v>12.78212033853324</v>
      </c>
      <c r="H18" s="62">
        <v>80.762180902921187</v>
      </c>
      <c r="I18" s="156">
        <v>899.0091961479784</v>
      </c>
      <c r="J18" s="61">
        <v>100</v>
      </c>
      <c r="K18" s="62">
        <v>7.3588503965936676</v>
      </c>
      <c r="L18" s="62">
        <v>9.0658945633202173</v>
      </c>
      <c r="M18" s="62">
        <v>83.575255040085977</v>
      </c>
    </row>
    <row r="19" spans="1:13" s="19" customFormat="1" ht="14.1" customHeight="1" x14ac:dyDescent="0.25">
      <c r="A19" s="37"/>
      <c r="B19" s="38" t="s">
        <v>32</v>
      </c>
      <c r="C19" s="35"/>
      <c r="D19" s="36">
        <v>832.96832173720861</v>
      </c>
      <c r="E19" s="61">
        <v>100</v>
      </c>
      <c r="F19" s="62">
        <v>8.3074176467856446</v>
      </c>
      <c r="G19" s="62">
        <v>8.7139021029035764</v>
      </c>
      <c r="H19" s="62">
        <v>82.978680250310902</v>
      </c>
      <c r="I19" s="156">
        <v>827.76197600520504</v>
      </c>
      <c r="J19" s="61">
        <v>100</v>
      </c>
      <c r="K19" s="62">
        <v>5.3119765552358933</v>
      </c>
      <c r="L19" s="62">
        <v>10.383362004376172</v>
      </c>
      <c r="M19" s="62">
        <v>84.304661440388003</v>
      </c>
    </row>
    <row r="20" spans="1:13" s="19" customFormat="1" ht="14.1" customHeight="1" x14ac:dyDescent="0.25">
      <c r="A20" s="37"/>
      <c r="B20" s="38" t="s">
        <v>33</v>
      </c>
      <c r="C20" s="35"/>
      <c r="D20" s="36">
        <v>1609.1896616543766</v>
      </c>
      <c r="E20" s="61">
        <v>100</v>
      </c>
      <c r="F20" s="62">
        <v>3.1115781038770001</v>
      </c>
      <c r="G20" s="62">
        <v>8.4607409409844916</v>
      </c>
      <c r="H20" s="62">
        <v>88.427680955138413</v>
      </c>
      <c r="I20" s="156">
        <v>1423.0943170234677</v>
      </c>
      <c r="J20" s="61">
        <v>100</v>
      </c>
      <c r="K20" s="62">
        <v>3.8281094406378426</v>
      </c>
      <c r="L20" s="62">
        <v>6.321194046316764</v>
      </c>
      <c r="M20" s="62">
        <v>89.850696513045307</v>
      </c>
    </row>
    <row r="21" spans="1:13" s="19" customFormat="1" ht="14.1" customHeight="1" x14ac:dyDescent="0.25">
      <c r="A21" s="37"/>
      <c r="B21" s="38" t="s">
        <v>34</v>
      </c>
      <c r="C21" s="35"/>
      <c r="D21" s="36">
        <v>795.64609020231842</v>
      </c>
      <c r="E21" s="61">
        <v>100</v>
      </c>
      <c r="F21" s="62">
        <v>3.2062946532658958</v>
      </c>
      <c r="G21" s="62">
        <v>7.2404927614566619</v>
      </c>
      <c r="H21" s="62">
        <v>89.553212585277294</v>
      </c>
      <c r="I21" s="156">
        <v>690.9980144217617</v>
      </c>
      <c r="J21" s="61">
        <v>100</v>
      </c>
      <c r="K21" s="62">
        <v>3.4621969350350796</v>
      </c>
      <c r="L21" s="62">
        <v>12.044413840974064</v>
      </c>
      <c r="M21" s="62">
        <v>84.493389223990604</v>
      </c>
    </row>
    <row r="22" spans="1:13" s="19" customFormat="1" ht="14.1" customHeight="1" x14ac:dyDescent="0.25">
      <c r="A22" s="37"/>
      <c r="B22" s="38" t="s">
        <v>35</v>
      </c>
      <c r="C22" s="35"/>
      <c r="D22" s="36">
        <v>1029.54725618047</v>
      </c>
      <c r="E22" s="61">
        <v>100</v>
      </c>
      <c r="F22" s="62">
        <v>3.287848313313515</v>
      </c>
      <c r="G22" s="62">
        <v>11.841383945581498</v>
      </c>
      <c r="H22" s="62">
        <v>84.87076774110497</v>
      </c>
      <c r="I22" s="156">
        <v>1013.3279607172594</v>
      </c>
      <c r="J22" s="61">
        <v>100</v>
      </c>
      <c r="K22" s="62">
        <v>4.3240268953733096</v>
      </c>
      <c r="L22" s="62">
        <v>7.6507020010748343</v>
      </c>
      <c r="M22" s="62">
        <v>88.025271103551802</v>
      </c>
    </row>
    <row r="23" spans="1:13" s="19" customFormat="1" ht="14.1" customHeight="1" x14ac:dyDescent="0.25">
      <c r="A23" s="37"/>
      <c r="B23" s="38" t="s">
        <v>36</v>
      </c>
      <c r="C23" s="35"/>
      <c r="D23" s="36">
        <v>731.68615500304634</v>
      </c>
      <c r="E23" s="61">
        <v>100</v>
      </c>
      <c r="F23" s="62">
        <v>1.6119409346729423</v>
      </c>
      <c r="G23" s="62">
        <v>8.8618310766184596</v>
      </c>
      <c r="H23" s="62">
        <v>89.526227988708854</v>
      </c>
      <c r="I23" s="156">
        <v>681.99522260312608</v>
      </c>
      <c r="J23" s="61">
        <v>100</v>
      </c>
      <c r="K23" s="62">
        <v>7.4045646863213666</v>
      </c>
      <c r="L23" s="62">
        <v>10.941650083126831</v>
      </c>
      <c r="M23" s="62">
        <v>81.653785230551776</v>
      </c>
    </row>
    <row r="24" spans="1:13" s="19" customFormat="1" ht="14.1" customHeight="1" x14ac:dyDescent="0.25">
      <c r="A24" s="37"/>
      <c r="B24" s="38" t="s">
        <v>37</v>
      </c>
      <c r="C24" s="35"/>
      <c r="D24" s="36">
        <v>1018.1941651084851</v>
      </c>
      <c r="E24" s="61">
        <v>100</v>
      </c>
      <c r="F24" s="62">
        <v>3.4747750704792533</v>
      </c>
      <c r="G24" s="62">
        <v>6.9358785528550637</v>
      </c>
      <c r="H24" s="62">
        <v>89.589346376665645</v>
      </c>
      <c r="I24" s="156">
        <v>942.31564504576079</v>
      </c>
      <c r="J24" s="61">
        <v>100</v>
      </c>
      <c r="K24" s="62">
        <v>4.7176536509617364</v>
      </c>
      <c r="L24" s="62">
        <v>7.4128764113428005</v>
      </c>
      <c r="M24" s="62">
        <v>87.869469937695442</v>
      </c>
    </row>
    <row r="25" spans="1:13" s="19" customFormat="1" ht="14.1" customHeight="1" x14ac:dyDescent="0.25">
      <c r="A25" s="37"/>
      <c r="B25" s="38" t="s">
        <v>38</v>
      </c>
      <c r="C25" s="35"/>
      <c r="D25" s="36">
        <v>309.54088403474009</v>
      </c>
      <c r="E25" s="61">
        <v>100</v>
      </c>
      <c r="F25" s="62">
        <v>5.2855455186206433</v>
      </c>
      <c r="G25" s="62">
        <v>8.4528021290714026</v>
      </c>
      <c r="H25" s="62">
        <v>86.261652352307181</v>
      </c>
      <c r="I25" s="156">
        <v>267.37962814029646</v>
      </c>
      <c r="J25" s="61">
        <v>100</v>
      </c>
      <c r="K25" s="62">
        <v>5.5366109459656601</v>
      </c>
      <c r="L25" s="62">
        <v>7.360452256894769</v>
      </c>
      <c r="M25" s="62">
        <v>87.102936797138895</v>
      </c>
    </row>
    <row r="26" spans="1:13" s="19" customFormat="1" ht="14.1" customHeight="1" x14ac:dyDescent="0.25">
      <c r="A26" s="37"/>
      <c r="B26" s="38" t="s">
        <v>39</v>
      </c>
      <c r="C26" s="35"/>
      <c r="D26" s="36">
        <v>481.59615721859416</v>
      </c>
      <c r="E26" s="61">
        <v>100</v>
      </c>
      <c r="F26" s="62">
        <v>4.088221568246456</v>
      </c>
      <c r="G26" s="62">
        <v>13.851177293638639</v>
      </c>
      <c r="H26" s="62">
        <v>82.060601138114905</v>
      </c>
      <c r="I26" s="156">
        <v>502.12295185241481</v>
      </c>
      <c r="J26" s="61">
        <v>100</v>
      </c>
      <c r="K26" s="62">
        <v>5.9525056651446127</v>
      </c>
      <c r="L26" s="62">
        <v>7.9184229870892917</v>
      </c>
      <c r="M26" s="62">
        <v>86.129071347766086</v>
      </c>
    </row>
    <row r="27" spans="1:13" s="19" customFormat="1" ht="14.1" customHeight="1" x14ac:dyDescent="0.25">
      <c r="A27" s="37"/>
      <c r="B27" s="38" t="s">
        <v>40</v>
      </c>
      <c r="C27" s="35"/>
      <c r="D27" s="36">
        <v>136.32721508268929</v>
      </c>
      <c r="E27" s="61">
        <v>100</v>
      </c>
      <c r="F27" s="62">
        <v>5.7304526801466817</v>
      </c>
      <c r="G27" s="62">
        <v>14.01395930210848</v>
      </c>
      <c r="H27" s="62">
        <v>80.255588017744913</v>
      </c>
      <c r="I27" s="156">
        <v>152.0018324082707</v>
      </c>
      <c r="J27" s="61">
        <v>100</v>
      </c>
      <c r="K27" s="62">
        <v>5.494412971807261</v>
      </c>
      <c r="L27" s="62">
        <v>9.8503789060853677</v>
      </c>
      <c r="M27" s="62">
        <v>84.655208122107084</v>
      </c>
    </row>
    <row r="28" spans="1:13" s="19" customFormat="1" ht="14.1" customHeight="1" x14ac:dyDescent="0.25">
      <c r="A28" s="37"/>
      <c r="B28" s="38" t="s">
        <v>41</v>
      </c>
      <c r="C28" s="35"/>
      <c r="D28" s="36">
        <v>540.04464005564898</v>
      </c>
      <c r="E28" s="61">
        <v>100</v>
      </c>
      <c r="F28" s="62">
        <v>24.290902655896584</v>
      </c>
      <c r="G28" s="62">
        <v>10.422320595718114</v>
      </c>
      <c r="H28" s="62">
        <v>65.286776748384767</v>
      </c>
      <c r="I28" s="156">
        <v>660.87016599555011</v>
      </c>
      <c r="J28" s="61">
        <v>100</v>
      </c>
      <c r="K28" s="62">
        <v>40.79104465493208</v>
      </c>
      <c r="L28" s="62">
        <v>13.608590388392523</v>
      </c>
      <c r="M28" s="62">
        <v>45.600364956674866</v>
      </c>
    </row>
    <row r="29" spans="1:13" s="19" customFormat="1" ht="14.1" customHeight="1" x14ac:dyDescent="0.25">
      <c r="A29" s="37"/>
      <c r="B29" s="38" t="s">
        <v>42</v>
      </c>
      <c r="C29" s="35"/>
      <c r="D29" s="36">
        <v>721.76858508105704</v>
      </c>
      <c r="E29" s="61">
        <v>100</v>
      </c>
      <c r="F29" s="62">
        <v>5.4701173728245109</v>
      </c>
      <c r="G29" s="62">
        <v>8.1939569862376889</v>
      </c>
      <c r="H29" s="62">
        <v>86.335925640938228</v>
      </c>
      <c r="I29" s="156">
        <v>758.73665280454486</v>
      </c>
      <c r="J29" s="61">
        <v>100</v>
      </c>
      <c r="K29" s="62">
        <v>8.1583667324269893</v>
      </c>
      <c r="L29" s="62">
        <v>15.192306578388438</v>
      </c>
      <c r="M29" s="62">
        <v>76.64932668918506</v>
      </c>
    </row>
    <row r="30" spans="1:13" s="19" customFormat="1" ht="14.1" customHeight="1" x14ac:dyDescent="0.25">
      <c r="A30" s="37"/>
      <c r="B30" s="38" t="s">
        <v>43</v>
      </c>
      <c r="C30" s="35"/>
      <c r="D30" s="36">
        <v>445.24695922376611</v>
      </c>
      <c r="E30" s="61">
        <v>100</v>
      </c>
      <c r="F30" s="62">
        <v>3.7787689180850239</v>
      </c>
      <c r="G30" s="62">
        <v>12.194640074546532</v>
      </c>
      <c r="H30" s="62">
        <v>84.026591007368467</v>
      </c>
      <c r="I30" s="156">
        <v>511.23292254829448</v>
      </c>
      <c r="J30" s="61">
        <v>100</v>
      </c>
      <c r="K30" s="62">
        <v>4.5475197485808154</v>
      </c>
      <c r="L30" s="62">
        <v>9.1178140702906223</v>
      </c>
      <c r="M30" s="62">
        <v>86.334666181129208</v>
      </c>
    </row>
    <row r="31" spans="1:13" s="19" customFormat="1" ht="14.1" customHeight="1" x14ac:dyDescent="0.25">
      <c r="A31" s="37"/>
      <c r="B31" s="38" t="s">
        <v>44</v>
      </c>
      <c r="C31" s="35"/>
      <c r="D31" s="36">
        <v>227.87133579099634</v>
      </c>
      <c r="E31" s="61">
        <v>100</v>
      </c>
      <c r="F31" s="62">
        <v>2.7709397953280797</v>
      </c>
      <c r="G31" s="62">
        <v>15.381299365189161</v>
      </c>
      <c r="H31" s="62">
        <v>81.847760839482604</v>
      </c>
      <c r="I31" s="156">
        <v>236.1136784177757</v>
      </c>
      <c r="J31" s="61">
        <v>100</v>
      </c>
      <c r="K31" s="62">
        <v>9.0028575626659926</v>
      </c>
      <c r="L31" s="62">
        <v>12.068874714867732</v>
      </c>
      <c r="M31" s="62">
        <v>78.928267722466558</v>
      </c>
    </row>
    <row r="32" spans="1:13" s="19" customFormat="1" ht="14.1" customHeight="1" x14ac:dyDescent="0.25">
      <c r="A32" s="37"/>
      <c r="B32" s="38" t="s">
        <v>45</v>
      </c>
      <c r="C32" s="35"/>
      <c r="D32" s="36">
        <v>17.393031834319213</v>
      </c>
      <c r="E32" s="61">
        <v>100</v>
      </c>
      <c r="F32" s="62">
        <v>3.8397838622391625</v>
      </c>
      <c r="G32" s="62">
        <v>17.208380428433909</v>
      </c>
      <c r="H32" s="62">
        <v>78.951835709326943</v>
      </c>
      <c r="I32" s="156">
        <v>13.112940694775341</v>
      </c>
      <c r="J32" s="61">
        <v>100</v>
      </c>
      <c r="K32" s="62">
        <v>17.978350044749806</v>
      </c>
      <c r="L32" s="62">
        <v>13.967956480126123</v>
      </c>
      <c r="M32" s="62">
        <v>68.053693475124078</v>
      </c>
    </row>
    <row r="33" spans="1:13" s="19" customFormat="1" ht="14.1" customHeight="1" x14ac:dyDescent="0.25">
      <c r="A33" s="37" t="s">
        <v>232</v>
      </c>
      <c r="B33" s="38"/>
      <c r="C33" s="36"/>
      <c r="D33" s="157"/>
      <c r="E33" s="158"/>
      <c r="F33" s="159"/>
      <c r="G33" s="159"/>
      <c r="H33" s="62"/>
      <c r="I33" s="156"/>
      <c r="J33" s="61"/>
      <c r="K33" s="62"/>
      <c r="L33" s="62"/>
      <c r="M33" s="62"/>
    </row>
    <row r="34" spans="1:13" s="19" customFormat="1" ht="14.1" customHeight="1" x14ac:dyDescent="0.25">
      <c r="A34" s="37"/>
      <c r="B34" s="38" t="s">
        <v>233</v>
      </c>
      <c r="C34" s="35"/>
      <c r="D34" s="36">
        <v>24094.323752095519</v>
      </c>
      <c r="E34" s="61">
        <v>100</v>
      </c>
      <c r="F34" s="62">
        <v>13.50316262941864</v>
      </c>
      <c r="G34" s="62">
        <v>11.082954940282908</v>
      </c>
      <c r="H34" s="62">
        <v>75.413882430300035</v>
      </c>
      <c r="I34" s="156">
        <v>25700.463845170278</v>
      </c>
      <c r="J34" s="61">
        <v>100</v>
      </c>
      <c r="K34" s="62">
        <v>23.663518627767221</v>
      </c>
      <c r="L34" s="62">
        <v>16.85389482627911</v>
      </c>
      <c r="M34" s="62">
        <v>59.482586545954</v>
      </c>
    </row>
    <row r="35" spans="1:13" s="19" customFormat="1" ht="14.1" customHeight="1" x14ac:dyDescent="0.25">
      <c r="A35" s="37"/>
      <c r="B35" s="38" t="s">
        <v>234</v>
      </c>
      <c r="C35" s="35"/>
      <c r="D35" s="36">
        <v>10424.864069507059</v>
      </c>
      <c r="E35" s="61">
        <v>100</v>
      </c>
      <c r="F35" s="62">
        <v>5.3189239854540027</v>
      </c>
      <c r="G35" s="62">
        <v>10.084042294869203</v>
      </c>
      <c r="H35" s="62">
        <v>84.597033719676134</v>
      </c>
      <c r="I35" s="156">
        <v>10391.278672946846</v>
      </c>
      <c r="J35" s="61">
        <v>100</v>
      </c>
      <c r="K35" s="62">
        <v>8.1540841440767196</v>
      </c>
      <c r="L35" s="62">
        <v>9.4908507175690797</v>
      </c>
      <c r="M35" s="62">
        <v>82.355065138360317</v>
      </c>
    </row>
    <row r="36" spans="1:13" s="19" customFormat="1" ht="14.1" customHeight="1" x14ac:dyDescent="0.25">
      <c r="A36" s="37" t="s">
        <v>49</v>
      </c>
      <c r="B36" s="38"/>
      <c r="C36" s="36"/>
      <c r="D36" s="36"/>
      <c r="E36" s="61"/>
      <c r="F36" s="62"/>
      <c r="G36" s="62"/>
      <c r="H36" s="62"/>
      <c r="I36" s="156"/>
      <c r="J36" s="61"/>
      <c r="K36" s="62"/>
      <c r="L36" s="62"/>
      <c r="M36" s="62"/>
    </row>
    <row r="37" spans="1:13" s="19" customFormat="1" ht="14.1" customHeight="1" x14ac:dyDescent="0.25">
      <c r="A37" s="37"/>
      <c r="B37" s="38" t="s">
        <v>107</v>
      </c>
      <c r="C37" s="35"/>
      <c r="D37" s="36">
        <v>1111.4340324321547</v>
      </c>
      <c r="E37" s="61">
        <v>100</v>
      </c>
      <c r="F37" s="62">
        <v>39.889341262712371</v>
      </c>
      <c r="G37" s="62">
        <v>35.417310594877677</v>
      </c>
      <c r="H37" s="62">
        <v>24.69334814240942</v>
      </c>
      <c r="I37" s="156">
        <v>1100.8587086317661</v>
      </c>
      <c r="J37" s="61">
        <v>100</v>
      </c>
      <c r="K37" s="62">
        <v>46.45100391657666</v>
      </c>
      <c r="L37" s="62">
        <v>25.671440142849903</v>
      </c>
      <c r="M37" s="62">
        <v>27.877555940572822</v>
      </c>
    </row>
    <row r="38" spans="1:13" s="19" customFormat="1" ht="14.1" customHeight="1" x14ac:dyDescent="0.25">
      <c r="A38" s="37"/>
      <c r="B38" s="38" t="s">
        <v>108</v>
      </c>
      <c r="C38" s="35"/>
      <c r="D38" s="36">
        <v>639.47386180714921</v>
      </c>
      <c r="E38" s="61">
        <v>100</v>
      </c>
      <c r="F38" s="62">
        <v>24.871754881346515</v>
      </c>
      <c r="G38" s="62">
        <v>17.089654921978376</v>
      </c>
      <c r="H38" s="62">
        <v>58.038590196675372</v>
      </c>
      <c r="I38" s="156">
        <v>605.11826705391627</v>
      </c>
      <c r="J38" s="61">
        <v>100</v>
      </c>
      <c r="K38" s="62">
        <v>30.070596903681526</v>
      </c>
      <c r="L38" s="62">
        <v>11.745119763503988</v>
      </c>
      <c r="M38" s="62">
        <v>58.184283332814779</v>
      </c>
    </row>
    <row r="39" spans="1:13" s="19" customFormat="1" ht="14.1" customHeight="1" x14ac:dyDescent="0.25">
      <c r="A39" s="37"/>
      <c r="B39" s="38" t="s">
        <v>109</v>
      </c>
      <c r="C39" s="35"/>
      <c r="D39" s="36">
        <v>5094.8533427114153</v>
      </c>
      <c r="E39" s="61">
        <v>100</v>
      </c>
      <c r="F39" s="62">
        <v>15.962635497362385</v>
      </c>
      <c r="G39" s="62">
        <v>8.000828788707496</v>
      </c>
      <c r="H39" s="62">
        <v>76.0365357139314</v>
      </c>
      <c r="I39" s="156">
        <v>4607.0364076558681</v>
      </c>
      <c r="J39" s="61">
        <v>100</v>
      </c>
      <c r="K39" s="62">
        <v>19.72149942759053</v>
      </c>
      <c r="L39" s="62">
        <v>10.768731772415673</v>
      </c>
      <c r="M39" s="62">
        <v>69.50976879999395</v>
      </c>
    </row>
    <row r="40" spans="1:13" s="19" customFormat="1" ht="14.1" customHeight="1" x14ac:dyDescent="0.25">
      <c r="A40" s="37"/>
      <c r="B40" s="38" t="s">
        <v>110</v>
      </c>
      <c r="C40" s="35"/>
      <c r="D40" s="36">
        <v>6139.1807408142922</v>
      </c>
      <c r="E40" s="61">
        <v>100</v>
      </c>
      <c r="F40" s="62">
        <v>5.9242334642221071</v>
      </c>
      <c r="G40" s="62">
        <v>5.9907013000649858</v>
      </c>
      <c r="H40" s="62">
        <v>88.085065235713301</v>
      </c>
      <c r="I40" s="156">
        <v>6241.5969635943093</v>
      </c>
      <c r="J40" s="61">
        <v>100</v>
      </c>
      <c r="K40" s="62">
        <v>19.690341829207846</v>
      </c>
      <c r="L40" s="62">
        <v>8.607704660592427</v>
      </c>
      <c r="M40" s="62">
        <v>71.701953510199502</v>
      </c>
    </row>
    <row r="41" spans="1:13" s="19" customFormat="1" ht="14.1" customHeight="1" x14ac:dyDescent="0.25">
      <c r="A41" s="37"/>
      <c r="B41" s="38" t="s">
        <v>111</v>
      </c>
      <c r="C41" s="35"/>
      <c r="D41" s="36">
        <v>7519.5836802026015</v>
      </c>
      <c r="E41" s="61">
        <v>100</v>
      </c>
      <c r="F41" s="62">
        <v>9.5577137952037052</v>
      </c>
      <c r="G41" s="62">
        <v>5.0285640374457667</v>
      </c>
      <c r="H41" s="62">
        <v>85.413722167350272</v>
      </c>
      <c r="I41" s="156">
        <v>7966.6319349596779</v>
      </c>
      <c r="J41" s="61">
        <v>100</v>
      </c>
      <c r="K41" s="62">
        <v>12.381950808741122</v>
      </c>
      <c r="L41" s="62">
        <v>10.38272529745743</v>
      </c>
      <c r="M41" s="62">
        <v>77.235323893801024</v>
      </c>
    </row>
    <row r="42" spans="1:13" s="19" customFormat="1" ht="14.1" customHeight="1" x14ac:dyDescent="0.25">
      <c r="A42" s="37"/>
      <c r="B42" s="38" t="s">
        <v>112</v>
      </c>
      <c r="C42" s="35"/>
      <c r="D42" s="36">
        <v>6319.4904191345458</v>
      </c>
      <c r="E42" s="61">
        <v>100</v>
      </c>
      <c r="F42" s="62">
        <v>6.7282823896003769</v>
      </c>
      <c r="G42" s="62">
        <v>6.9505755813010195</v>
      </c>
      <c r="H42" s="62">
        <v>86.321142029099775</v>
      </c>
      <c r="I42" s="156">
        <v>6582.3790209813842</v>
      </c>
      <c r="J42" s="61">
        <v>100</v>
      </c>
      <c r="K42" s="62">
        <v>16.706365268609542</v>
      </c>
      <c r="L42" s="62">
        <v>12.223213164799885</v>
      </c>
      <c r="M42" s="62">
        <v>71.070421566588536</v>
      </c>
    </row>
    <row r="43" spans="1:13" s="19" customFormat="1" ht="14.1" customHeight="1" x14ac:dyDescent="0.25">
      <c r="A43" s="37"/>
      <c r="B43" s="38" t="s">
        <v>113</v>
      </c>
      <c r="C43" s="35"/>
      <c r="D43" s="36">
        <v>2644.3832949365301</v>
      </c>
      <c r="E43" s="61">
        <v>100</v>
      </c>
      <c r="F43" s="62">
        <v>8.4683009533166302</v>
      </c>
      <c r="G43" s="62">
        <v>13.383919324160287</v>
      </c>
      <c r="H43" s="62">
        <v>78.1477797225225</v>
      </c>
      <c r="I43" s="156">
        <v>3037.2446473588252</v>
      </c>
      <c r="J43" s="61">
        <v>100</v>
      </c>
      <c r="K43" s="62">
        <v>16.662721205796259</v>
      </c>
      <c r="L43" s="62">
        <v>15.470969690428079</v>
      </c>
      <c r="M43" s="62">
        <v>67.866309103777837</v>
      </c>
    </row>
    <row r="44" spans="1:13" s="19" customFormat="1" ht="14.1" customHeight="1" x14ac:dyDescent="0.25">
      <c r="A44" s="37"/>
      <c r="B44" s="38" t="s">
        <v>114</v>
      </c>
      <c r="C44" s="35"/>
      <c r="D44" s="36">
        <v>5050.7884495642029</v>
      </c>
      <c r="E44" s="61">
        <v>100</v>
      </c>
      <c r="F44" s="62">
        <v>13.082990618198915</v>
      </c>
      <c r="G44" s="62">
        <v>25.18391337793469</v>
      </c>
      <c r="H44" s="62">
        <v>61.733096003864979</v>
      </c>
      <c r="I44" s="156">
        <v>5950.8765678820391</v>
      </c>
      <c r="J44" s="61">
        <v>100</v>
      </c>
      <c r="K44" s="62">
        <v>25.30498268298286</v>
      </c>
      <c r="L44" s="62">
        <v>30.736164144571308</v>
      </c>
      <c r="M44" s="62">
        <v>43.958853172446126</v>
      </c>
    </row>
    <row r="45" spans="1:13" s="19" customFormat="1" ht="14.1" customHeight="1" x14ac:dyDescent="0.25">
      <c r="A45" s="39"/>
      <c r="B45" s="40"/>
      <c r="C45" s="41"/>
      <c r="D45" s="82"/>
      <c r="E45" s="83"/>
      <c r="F45" s="84"/>
      <c r="G45" s="84"/>
      <c r="H45" s="84"/>
      <c r="I45" s="161"/>
      <c r="J45" s="83"/>
      <c r="K45" s="84"/>
      <c r="L45" s="84"/>
      <c r="M45" s="84"/>
    </row>
    <row r="46" spans="1:13" s="19" customFormat="1" ht="14.1" customHeight="1" x14ac:dyDescent="0.25">
      <c r="A46" s="37" t="s">
        <v>50</v>
      </c>
      <c r="B46" s="38"/>
      <c r="C46" s="36"/>
      <c r="D46" s="36"/>
      <c r="E46" s="61"/>
      <c r="F46" s="62"/>
      <c r="G46" s="62"/>
      <c r="H46" s="62"/>
      <c r="I46" s="156"/>
      <c r="J46" s="61"/>
      <c r="K46" s="62"/>
      <c r="L46" s="62"/>
      <c r="M46" s="62"/>
    </row>
    <row r="47" spans="1:13" s="19" customFormat="1" ht="14.1" customHeight="1" x14ac:dyDescent="0.25">
      <c r="A47" s="37"/>
      <c r="B47" s="38" t="s">
        <v>3</v>
      </c>
      <c r="C47" s="35"/>
      <c r="D47" s="36">
        <v>1287.032017912758</v>
      </c>
      <c r="E47" s="61">
        <v>100</v>
      </c>
      <c r="F47" s="62">
        <v>5.2737299988450399</v>
      </c>
      <c r="G47" s="62">
        <v>31.053833069779678</v>
      </c>
      <c r="H47" s="62">
        <v>63.672436931376083</v>
      </c>
      <c r="I47" s="156">
        <v>2499.5202277948283</v>
      </c>
      <c r="J47" s="61">
        <v>100</v>
      </c>
      <c r="K47" s="62">
        <v>16.684795338420052</v>
      </c>
      <c r="L47" s="62">
        <v>38.881769520878585</v>
      </c>
      <c r="M47" s="62">
        <v>44.433435140701938</v>
      </c>
    </row>
    <row r="48" spans="1:13" s="19" customFormat="1" ht="14.1" customHeight="1" x14ac:dyDescent="0.25">
      <c r="A48" s="37"/>
      <c r="B48" s="38" t="s">
        <v>115</v>
      </c>
      <c r="C48" s="35"/>
      <c r="D48" s="36">
        <v>2690.8405159818753</v>
      </c>
      <c r="E48" s="61">
        <v>100</v>
      </c>
      <c r="F48" s="62">
        <v>6.206150918660299</v>
      </c>
      <c r="G48" s="62">
        <v>14.869856286577491</v>
      </c>
      <c r="H48" s="62">
        <v>78.923992794762029</v>
      </c>
      <c r="I48" s="156">
        <v>2232.6004878106601</v>
      </c>
      <c r="J48" s="61">
        <v>100</v>
      </c>
      <c r="K48" s="62">
        <v>15.29558460945494</v>
      </c>
      <c r="L48" s="62">
        <v>16.543398741152313</v>
      </c>
      <c r="M48" s="62">
        <v>68.16101664939319</v>
      </c>
    </row>
    <row r="49" spans="1:13" s="19" customFormat="1" ht="14.1" customHeight="1" x14ac:dyDescent="0.25">
      <c r="A49" s="37"/>
      <c r="B49" s="38" t="s">
        <v>116</v>
      </c>
      <c r="C49" s="35"/>
      <c r="D49" s="36">
        <v>9507.8827196332077</v>
      </c>
      <c r="E49" s="61">
        <v>100</v>
      </c>
      <c r="F49" s="62">
        <v>10.46806143909278</v>
      </c>
      <c r="G49" s="62">
        <v>10.379431209855571</v>
      </c>
      <c r="H49" s="62">
        <v>79.152507351052449</v>
      </c>
      <c r="I49" s="156">
        <v>8933.6721986361372</v>
      </c>
      <c r="J49" s="61">
        <v>100</v>
      </c>
      <c r="K49" s="62">
        <v>16.422860718459937</v>
      </c>
      <c r="L49" s="62">
        <v>13.205451715353028</v>
      </c>
      <c r="M49" s="62">
        <v>70.371687566188186</v>
      </c>
    </row>
    <row r="50" spans="1:13" s="19" customFormat="1" ht="14.1" customHeight="1" x14ac:dyDescent="0.25">
      <c r="A50" s="37"/>
      <c r="B50" s="38" t="s">
        <v>51</v>
      </c>
      <c r="C50" s="35"/>
      <c r="D50" s="36">
        <v>3655.9349279191174</v>
      </c>
      <c r="E50" s="61">
        <v>100</v>
      </c>
      <c r="F50" s="62">
        <v>6.7800123724939372</v>
      </c>
      <c r="G50" s="62">
        <v>11.6726064398747</v>
      </c>
      <c r="H50" s="62">
        <v>81.547381187631231</v>
      </c>
      <c r="I50" s="156">
        <v>4266.1229147724916</v>
      </c>
      <c r="J50" s="61">
        <v>100</v>
      </c>
      <c r="K50" s="62">
        <v>18.947648508583899</v>
      </c>
      <c r="L50" s="62">
        <v>12.71457129490768</v>
      </c>
      <c r="M50" s="62">
        <v>68.337780196508405</v>
      </c>
    </row>
    <row r="51" spans="1:13" s="19" customFormat="1" ht="14.1" customHeight="1" x14ac:dyDescent="0.25">
      <c r="A51" s="37"/>
      <c r="B51" s="38" t="s">
        <v>52</v>
      </c>
      <c r="C51" s="35"/>
      <c r="D51" s="36">
        <v>12250.244429713786</v>
      </c>
      <c r="E51" s="61">
        <v>100</v>
      </c>
      <c r="F51" s="62">
        <v>11.646346039422161</v>
      </c>
      <c r="G51" s="62">
        <v>9.212770235766623</v>
      </c>
      <c r="H51" s="62">
        <v>79.140883724810791</v>
      </c>
      <c r="I51" s="156">
        <v>14044.360554525887</v>
      </c>
      <c r="J51" s="61">
        <v>100</v>
      </c>
      <c r="K51" s="62">
        <v>21.141531238700281</v>
      </c>
      <c r="L51" s="62">
        <v>12.501969654759359</v>
      </c>
      <c r="M51" s="62">
        <v>66.356499106538763</v>
      </c>
    </row>
    <row r="52" spans="1:13" s="19" customFormat="1" ht="14.1" customHeight="1" x14ac:dyDescent="0.25">
      <c r="A52" s="37"/>
      <c r="B52" s="38" t="s">
        <v>4</v>
      </c>
      <c r="C52" s="35"/>
      <c r="D52" s="36">
        <v>5103.014510848604</v>
      </c>
      <c r="E52" s="61">
        <v>100</v>
      </c>
      <c r="F52" s="62">
        <v>17.677572869420782</v>
      </c>
      <c r="G52" s="62">
        <v>7.3755144790094924</v>
      </c>
      <c r="H52" s="62">
        <v>74.946912651570358</v>
      </c>
      <c r="I52" s="156">
        <v>4077.3406806042153</v>
      </c>
      <c r="J52" s="61">
        <v>100</v>
      </c>
      <c r="K52" s="62">
        <v>22.645223348261197</v>
      </c>
      <c r="L52" s="62">
        <v>11.966858436783886</v>
      </c>
      <c r="M52" s="62">
        <v>65.387918214955349</v>
      </c>
    </row>
    <row r="53" spans="1:13" s="19" customFormat="1" ht="14.1" customHeight="1" x14ac:dyDescent="0.25">
      <c r="A53" s="37"/>
      <c r="B53" s="38" t="s">
        <v>117</v>
      </c>
      <c r="C53" s="35"/>
      <c r="D53" s="36">
        <v>24.2386995935363</v>
      </c>
      <c r="E53" s="61">
        <v>100</v>
      </c>
      <c r="F53" s="62">
        <v>4.7662968663735565</v>
      </c>
      <c r="G53" s="62">
        <v>13.393315718729079</v>
      </c>
      <c r="H53" s="62">
        <v>81.840387414897322</v>
      </c>
      <c r="I53" s="156">
        <v>38.125453973487069</v>
      </c>
      <c r="J53" s="61">
        <v>100</v>
      </c>
      <c r="K53" s="62">
        <v>6.3165942767438503</v>
      </c>
      <c r="L53" s="62">
        <v>27.912867998461952</v>
      </c>
      <c r="M53" s="62">
        <v>65.770537724794238</v>
      </c>
    </row>
    <row r="54" spans="1:13" s="19" customFormat="1" ht="14.1" customHeight="1" x14ac:dyDescent="0.25">
      <c r="A54" s="33" t="s">
        <v>53</v>
      </c>
      <c r="B54" s="34"/>
      <c r="C54" s="36"/>
      <c r="D54" s="36"/>
      <c r="E54" s="61"/>
      <c r="F54" s="62"/>
      <c r="G54" s="62"/>
      <c r="H54" s="62"/>
      <c r="I54" s="156"/>
      <c r="J54" s="61"/>
      <c r="K54" s="62"/>
      <c r="L54" s="62"/>
      <c r="M54" s="62"/>
    </row>
    <row r="55" spans="1:13" s="19" customFormat="1" ht="14.1" customHeight="1" x14ac:dyDescent="0.25">
      <c r="A55" s="37"/>
      <c r="B55" s="38" t="s">
        <v>54</v>
      </c>
      <c r="C55" s="35"/>
      <c r="D55" s="36">
        <v>1298.8679163457368</v>
      </c>
      <c r="E55" s="61">
        <v>100</v>
      </c>
      <c r="F55" s="62">
        <v>1.1057515538356817</v>
      </c>
      <c r="G55" s="62">
        <v>9.00885057814315</v>
      </c>
      <c r="H55" s="62">
        <v>89.885397868021258</v>
      </c>
      <c r="I55" s="156">
        <v>579.71787649963414</v>
      </c>
      <c r="J55" s="61">
        <v>100</v>
      </c>
      <c r="K55" s="62">
        <v>2.9609774600687713</v>
      </c>
      <c r="L55" s="62">
        <v>6.4994668185287736</v>
      </c>
      <c r="M55" s="62">
        <v>90.539555721402479</v>
      </c>
    </row>
    <row r="56" spans="1:13" s="19" customFormat="1" ht="14.1" customHeight="1" x14ac:dyDescent="0.25">
      <c r="A56" s="37"/>
      <c r="B56" s="38" t="s">
        <v>55</v>
      </c>
      <c r="C56" s="35"/>
      <c r="D56" s="36">
        <v>10121.85339670849</v>
      </c>
      <c r="E56" s="61">
        <v>100</v>
      </c>
      <c r="F56" s="62">
        <v>6.809790950744353</v>
      </c>
      <c r="G56" s="62">
        <v>3.7236659033667827</v>
      </c>
      <c r="H56" s="62">
        <v>89.466543145888551</v>
      </c>
      <c r="I56" s="156">
        <v>4998.1094606867637</v>
      </c>
      <c r="J56" s="61">
        <v>100</v>
      </c>
      <c r="K56" s="62">
        <v>11.45989837648184</v>
      </c>
      <c r="L56" s="62">
        <v>5.8245475334519874</v>
      </c>
      <c r="M56" s="62">
        <v>82.715554090065822</v>
      </c>
    </row>
    <row r="57" spans="1:13" s="19" customFormat="1" ht="14.1" customHeight="1" x14ac:dyDescent="0.25">
      <c r="A57" s="37"/>
      <c r="B57" s="38" t="s">
        <v>211</v>
      </c>
      <c r="C57" s="35"/>
      <c r="D57" s="36">
        <v>1423.4297704750786</v>
      </c>
      <c r="E57" s="61">
        <v>100</v>
      </c>
      <c r="F57" s="62">
        <v>7.4313780657593149</v>
      </c>
      <c r="G57" s="62">
        <v>6.8827040452551804</v>
      </c>
      <c r="H57" s="62">
        <v>85.685917888985799</v>
      </c>
      <c r="I57" s="156">
        <v>1785.8827196028788</v>
      </c>
      <c r="J57" s="61">
        <v>100</v>
      </c>
      <c r="K57" s="62">
        <v>14.777733133704219</v>
      </c>
      <c r="L57" s="62">
        <v>8.9870030779278345</v>
      </c>
      <c r="M57" s="62">
        <v>76.235263788367675</v>
      </c>
    </row>
    <row r="58" spans="1:13" s="19" customFormat="1" ht="14.1" customHeight="1" x14ac:dyDescent="0.25">
      <c r="A58" s="37"/>
      <c r="B58" s="38" t="s">
        <v>212</v>
      </c>
      <c r="C58" s="35"/>
      <c r="D58" s="36">
        <v>881.9256657890428</v>
      </c>
      <c r="E58" s="61">
        <v>100</v>
      </c>
      <c r="F58" s="62">
        <v>6.8009644620680465</v>
      </c>
      <c r="G58" s="62">
        <v>7.1466171607501288</v>
      </c>
      <c r="H58" s="62">
        <v>86.052418377182008</v>
      </c>
      <c r="I58" s="156">
        <v>1098.8817074537078</v>
      </c>
      <c r="J58" s="61">
        <v>100</v>
      </c>
      <c r="K58" s="62">
        <v>7.8345906090232571</v>
      </c>
      <c r="L58" s="62">
        <v>3.8485691076841819</v>
      </c>
      <c r="M58" s="62">
        <v>88.316840283292848</v>
      </c>
    </row>
    <row r="59" spans="1:13" s="19" customFormat="1" ht="14.1" customHeight="1" x14ac:dyDescent="0.25">
      <c r="A59" s="37"/>
      <c r="B59" s="38" t="s">
        <v>56</v>
      </c>
      <c r="C59" s="35"/>
      <c r="D59" s="36">
        <v>10699.042360506337</v>
      </c>
      <c r="E59" s="61">
        <v>100</v>
      </c>
      <c r="F59" s="62">
        <v>10.906749517175186</v>
      </c>
      <c r="G59" s="62">
        <v>6.2523939697991002</v>
      </c>
      <c r="H59" s="62">
        <v>82.840856513024335</v>
      </c>
      <c r="I59" s="156">
        <v>12115.849303929135</v>
      </c>
      <c r="J59" s="61">
        <v>100</v>
      </c>
      <c r="K59" s="62">
        <v>21.928388547582035</v>
      </c>
      <c r="L59" s="62">
        <v>11.906372432455058</v>
      </c>
      <c r="M59" s="62">
        <v>66.165239019962641</v>
      </c>
    </row>
    <row r="60" spans="1:13" s="19" customFormat="1" ht="14.1" customHeight="1" x14ac:dyDescent="0.25">
      <c r="A60" s="37"/>
      <c r="B60" s="38" t="s">
        <v>57</v>
      </c>
      <c r="C60" s="35"/>
      <c r="D60" s="36">
        <v>1764.0036987622229</v>
      </c>
      <c r="E60" s="61">
        <v>100</v>
      </c>
      <c r="F60" s="62">
        <v>13.505150136952688</v>
      </c>
      <c r="G60" s="62">
        <v>7.2039737815158995</v>
      </c>
      <c r="H60" s="62">
        <v>79.290876081531309</v>
      </c>
      <c r="I60" s="156">
        <v>2394.5883535018784</v>
      </c>
      <c r="J60" s="61">
        <v>100</v>
      </c>
      <c r="K60" s="62">
        <v>13.961667475411016</v>
      </c>
      <c r="L60" s="62">
        <v>7.5588863173756842</v>
      </c>
      <c r="M60" s="62">
        <v>78.479446207213343</v>
      </c>
    </row>
    <row r="61" spans="1:13" s="19" customFormat="1" ht="14.1" customHeight="1" x14ac:dyDescent="0.25">
      <c r="A61" s="37"/>
      <c r="B61" s="38" t="s">
        <v>204</v>
      </c>
      <c r="C61" s="35"/>
      <c r="D61" s="36">
        <v>117.71236747128957</v>
      </c>
      <c r="E61" s="61">
        <v>100</v>
      </c>
      <c r="F61" s="62">
        <v>18.246347003475261</v>
      </c>
      <c r="G61" s="62">
        <v>2.8641001506639787</v>
      </c>
      <c r="H61" s="62">
        <v>78.889552845860777</v>
      </c>
      <c r="I61" s="156">
        <v>56.5985251768398</v>
      </c>
      <c r="J61" s="61">
        <v>100</v>
      </c>
      <c r="K61" s="62">
        <v>36.325219680006136</v>
      </c>
      <c r="L61" s="62">
        <v>25.579365180710294</v>
      </c>
      <c r="M61" s="62">
        <v>38.095415139283574</v>
      </c>
    </row>
    <row r="62" spans="1:13" s="19" customFormat="1" ht="14.1" customHeight="1" x14ac:dyDescent="0.25">
      <c r="A62" s="37"/>
      <c r="B62" s="38" t="s">
        <v>58</v>
      </c>
      <c r="C62" s="35"/>
      <c r="D62" s="36">
        <v>90.838042514734781</v>
      </c>
      <c r="E62" s="61">
        <v>100</v>
      </c>
      <c r="F62" s="62">
        <v>12.261729387160301</v>
      </c>
      <c r="G62" s="62">
        <v>27.159636866584872</v>
      </c>
      <c r="H62" s="62">
        <v>60.578633746254702</v>
      </c>
      <c r="I62" s="156">
        <v>6154.7310468322212</v>
      </c>
      <c r="J62" s="61">
        <v>100</v>
      </c>
      <c r="K62" s="62">
        <v>16.55344312004495</v>
      </c>
      <c r="L62" s="62">
        <v>22.181910177484045</v>
      </c>
      <c r="M62" s="62">
        <v>61.264646702471119</v>
      </c>
    </row>
    <row r="63" spans="1:13" s="19" customFormat="1" ht="14.1" customHeight="1" x14ac:dyDescent="0.25">
      <c r="A63" s="37"/>
      <c r="B63" s="38" t="s">
        <v>59</v>
      </c>
      <c r="C63" s="35"/>
      <c r="D63" s="36">
        <v>4914.818786860913</v>
      </c>
      <c r="E63" s="61">
        <v>100</v>
      </c>
      <c r="F63" s="62">
        <v>12.800557921972718</v>
      </c>
      <c r="G63" s="62">
        <v>29.050183174198366</v>
      </c>
      <c r="H63" s="62">
        <v>58.149258903828013</v>
      </c>
      <c r="I63" s="156">
        <v>3879.6149029499798</v>
      </c>
      <c r="J63" s="61">
        <v>100</v>
      </c>
      <c r="K63" s="62">
        <v>24.722022938453897</v>
      </c>
      <c r="L63" s="62">
        <v>29.876396217724462</v>
      </c>
      <c r="M63" s="62">
        <v>45.401580843823247</v>
      </c>
    </row>
    <row r="64" spans="1:13" s="19" customFormat="1" ht="14.1" customHeight="1" x14ac:dyDescent="0.25">
      <c r="A64" s="37"/>
      <c r="B64" s="38" t="s">
        <v>61</v>
      </c>
      <c r="C64" s="35"/>
      <c r="D64" s="36">
        <v>2122.1104667164018</v>
      </c>
      <c r="E64" s="61">
        <v>100</v>
      </c>
      <c r="F64" s="62">
        <v>36.888902525778157</v>
      </c>
      <c r="G64" s="62">
        <v>27.468543310400733</v>
      </c>
      <c r="H64" s="62">
        <v>35.642554163820584</v>
      </c>
      <c r="I64" s="156">
        <v>2125.6656467295406</v>
      </c>
      <c r="J64" s="61">
        <v>100</v>
      </c>
      <c r="K64" s="62">
        <v>40.843430044092763</v>
      </c>
      <c r="L64" s="62">
        <v>21.09632158908164</v>
      </c>
      <c r="M64" s="62">
        <v>38.060248366825718</v>
      </c>
    </row>
    <row r="65" spans="1:13" s="19" customFormat="1" ht="14.1" customHeight="1" x14ac:dyDescent="0.25">
      <c r="A65" s="37"/>
      <c r="B65" s="38" t="s">
        <v>60</v>
      </c>
      <c r="C65" s="35"/>
      <c r="D65" s="36">
        <v>1044.7939941776906</v>
      </c>
      <c r="E65" s="61">
        <v>100</v>
      </c>
      <c r="F65" s="62">
        <v>8.5063659352469703</v>
      </c>
      <c r="G65" s="62">
        <v>22.088945327941129</v>
      </c>
      <c r="H65" s="62">
        <v>69.40468873681175</v>
      </c>
      <c r="I65" s="156">
        <v>817.50060243305359</v>
      </c>
      <c r="J65" s="61">
        <v>100</v>
      </c>
      <c r="K65" s="62">
        <v>14.695594092672803</v>
      </c>
      <c r="L65" s="62">
        <v>21.251491438807161</v>
      </c>
      <c r="M65" s="62">
        <v>64.0529144685202</v>
      </c>
    </row>
    <row r="66" spans="1:13" s="19" customFormat="1" ht="14.1" customHeight="1" x14ac:dyDescent="0.25">
      <c r="A66" s="37"/>
      <c r="B66" s="38" t="s">
        <v>117</v>
      </c>
      <c r="C66" s="35"/>
      <c r="D66" s="36">
        <v>39.791355275151808</v>
      </c>
      <c r="E66" s="61">
        <v>100</v>
      </c>
      <c r="F66" s="62">
        <v>0</v>
      </c>
      <c r="G66" s="62">
        <v>2.9337294088022361</v>
      </c>
      <c r="H66" s="62">
        <v>97.066270591197764</v>
      </c>
      <c r="I66" s="156">
        <v>84.602372322017814</v>
      </c>
      <c r="J66" s="61">
        <v>100</v>
      </c>
      <c r="K66" s="62">
        <v>13.041213502098893</v>
      </c>
      <c r="L66" s="62">
        <v>1.9281295891212458</v>
      </c>
      <c r="M66" s="62">
        <v>85.030656908779832</v>
      </c>
    </row>
    <row r="67" spans="1:13" s="19" customFormat="1" ht="14.1" customHeight="1" x14ac:dyDescent="0.25">
      <c r="A67" s="37" t="s">
        <v>5</v>
      </c>
      <c r="B67" s="38"/>
      <c r="C67" s="36"/>
      <c r="D67" s="36"/>
      <c r="E67" s="61"/>
      <c r="F67" s="62"/>
      <c r="G67" s="62"/>
      <c r="H67" s="62"/>
      <c r="I67" s="156"/>
      <c r="J67" s="61"/>
      <c r="K67" s="62"/>
      <c r="L67" s="62"/>
      <c r="M67" s="62"/>
    </row>
    <row r="68" spans="1:13" s="19" customFormat="1" ht="14.1" customHeight="1" x14ac:dyDescent="0.25">
      <c r="A68" s="37"/>
      <c r="B68" s="38" t="s">
        <v>6</v>
      </c>
      <c r="C68" s="35"/>
      <c r="D68" s="36">
        <v>16601.994115403693</v>
      </c>
      <c r="E68" s="61">
        <v>100</v>
      </c>
      <c r="F68" s="62">
        <v>8.9871316038272653</v>
      </c>
      <c r="G68" s="62">
        <v>3.9468050075192269</v>
      </c>
      <c r="H68" s="62">
        <v>87.066063388653745</v>
      </c>
      <c r="I68" s="156">
        <v>15005.00575925872</v>
      </c>
      <c r="J68" s="61">
        <v>100</v>
      </c>
      <c r="K68" s="62">
        <v>18.718480237472406</v>
      </c>
      <c r="L68" s="62">
        <v>8.8831547937671722</v>
      </c>
      <c r="M68" s="62">
        <v>72.398364968759282</v>
      </c>
    </row>
    <row r="69" spans="1:13" s="19" customFormat="1" ht="14.1" customHeight="1" x14ac:dyDescent="0.25">
      <c r="A69" s="37"/>
      <c r="B69" s="38" t="s">
        <v>7</v>
      </c>
      <c r="C69" s="35"/>
      <c r="D69" s="36">
        <v>1769.8978378209497</v>
      </c>
      <c r="E69" s="61">
        <v>100</v>
      </c>
      <c r="F69" s="62">
        <v>34.28775557343441</v>
      </c>
      <c r="G69" s="62">
        <v>29.34093278560432</v>
      </c>
      <c r="H69" s="62">
        <v>36.371311640960428</v>
      </c>
      <c r="I69" s="156">
        <v>1836.929036684357</v>
      </c>
      <c r="J69" s="61">
        <v>100</v>
      </c>
      <c r="K69" s="62">
        <v>41.90148355522647</v>
      </c>
      <c r="L69" s="62">
        <v>20.616534199075957</v>
      </c>
      <c r="M69" s="62">
        <v>37.481982245697758</v>
      </c>
    </row>
    <row r="70" spans="1:13" s="19" customFormat="1" ht="14.1" customHeight="1" x14ac:dyDescent="0.25">
      <c r="A70" s="37"/>
      <c r="B70" s="38" t="s">
        <v>122</v>
      </c>
      <c r="C70" s="35"/>
      <c r="D70" s="36">
        <v>2454.2545667907343</v>
      </c>
      <c r="E70" s="61">
        <v>100</v>
      </c>
      <c r="F70" s="62">
        <v>9.322723819495053</v>
      </c>
      <c r="G70" s="62">
        <v>1.866697057255944</v>
      </c>
      <c r="H70" s="62">
        <v>88.810579123248758</v>
      </c>
      <c r="I70" s="156">
        <v>893.80018010949698</v>
      </c>
      <c r="J70" s="61">
        <v>100</v>
      </c>
      <c r="K70" s="62">
        <v>26.482026028109679</v>
      </c>
      <c r="L70" s="62">
        <v>5.1877135363243347</v>
      </c>
      <c r="M70" s="62">
        <v>68.330260435565805</v>
      </c>
    </row>
    <row r="71" spans="1:13" s="19" customFormat="1" ht="14.1" customHeight="1" x14ac:dyDescent="0.25">
      <c r="A71" s="37"/>
      <c r="B71" s="38" t="s">
        <v>8</v>
      </c>
      <c r="C71" s="35"/>
      <c r="D71" s="36">
        <v>4514.3607316766838</v>
      </c>
      <c r="E71" s="61">
        <v>100</v>
      </c>
      <c r="F71" s="62">
        <v>4.3497995015755908</v>
      </c>
      <c r="G71" s="62">
        <v>14.510370030104594</v>
      </c>
      <c r="H71" s="62">
        <v>81.13983046832044</v>
      </c>
      <c r="I71" s="156">
        <v>6814.4827794072889</v>
      </c>
      <c r="J71" s="61">
        <v>100</v>
      </c>
      <c r="K71" s="62">
        <v>8.0309318796662534</v>
      </c>
      <c r="L71" s="62">
        <v>19.229712996618073</v>
      </c>
      <c r="M71" s="62">
        <v>72.739355123715725</v>
      </c>
    </row>
    <row r="72" spans="1:13" s="19" customFormat="1" ht="14.1" customHeight="1" x14ac:dyDescent="0.25">
      <c r="A72" s="37"/>
      <c r="B72" s="38" t="s">
        <v>9</v>
      </c>
      <c r="C72" s="35"/>
      <c r="D72" s="36">
        <v>4809.6894536572154</v>
      </c>
      <c r="E72" s="61">
        <v>100</v>
      </c>
      <c r="F72" s="62">
        <v>12.405139255019563</v>
      </c>
      <c r="G72" s="62">
        <v>8.3244360316300234</v>
      </c>
      <c r="H72" s="62">
        <v>79.270424713350735</v>
      </c>
      <c r="I72" s="156">
        <v>7000.3325326121585</v>
      </c>
      <c r="J72" s="61">
        <v>100</v>
      </c>
      <c r="K72" s="62">
        <v>20.701117925811388</v>
      </c>
      <c r="L72" s="62">
        <v>10.978092116867602</v>
      </c>
      <c r="M72" s="62">
        <v>68.320789957321026</v>
      </c>
    </row>
    <row r="73" spans="1:13" s="19" customFormat="1" ht="14.1" customHeight="1" x14ac:dyDescent="0.25">
      <c r="A73" s="37"/>
      <c r="B73" s="38" t="s">
        <v>10</v>
      </c>
      <c r="C73" s="35"/>
      <c r="D73" s="36">
        <v>4368.9911162538319</v>
      </c>
      <c r="E73" s="61">
        <v>100</v>
      </c>
      <c r="F73" s="62">
        <v>15.730572646245971</v>
      </c>
      <c r="G73" s="62">
        <v>33.092637904301867</v>
      </c>
      <c r="H73" s="62">
        <v>51.176789449451178</v>
      </c>
      <c r="I73" s="156">
        <v>4541.1922300457809</v>
      </c>
      <c r="J73" s="61">
        <v>100</v>
      </c>
      <c r="K73" s="62">
        <v>24.606492843139741</v>
      </c>
      <c r="L73" s="62">
        <v>32.60916074037447</v>
      </c>
      <c r="M73" s="62">
        <v>42.78434641648672</v>
      </c>
    </row>
    <row r="74" spans="1:13" s="19" customFormat="1" ht="14.1" customHeight="1" x14ac:dyDescent="0.25">
      <c r="A74" s="37" t="s">
        <v>72</v>
      </c>
      <c r="B74" s="38"/>
      <c r="C74" s="36"/>
      <c r="D74" s="36"/>
      <c r="E74" s="61"/>
      <c r="F74" s="62"/>
      <c r="G74" s="62"/>
      <c r="H74" s="62"/>
      <c r="I74" s="156"/>
      <c r="J74" s="61"/>
      <c r="K74" s="62"/>
      <c r="L74" s="62"/>
      <c r="M74" s="62"/>
    </row>
    <row r="75" spans="1:13" s="19" customFormat="1" ht="14.1" customHeight="1" x14ac:dyDescent="0.25">
      <c r="A75" s="37"/>
      <c r="B75" s="38" t="s">
        <v>123</v>
      </c>
      <c r="C75" s="35"/>
      <c r="D75" s="36">
        <v>2675.3912204888497</v>
      </c>
      <c r="E75" s="61">
        <v>100</v>
      </c>
      <c r="F75" s="62">
        <v>17.672698533949728</v>
      </c>
      <c r="G75" s="62">
        <v>14.344191305453696</v>
      </c>
      <c r="H75" s="62">
        <v>67.983110160596382</v>
      </c>
      <c r="I75" s="156">
        <v>2008.3987951135191</v>
      </c>
      <c r="J75" s="61">
        <v>100</v>
      </c>
      <c r="K75" s="62">
        <v>21.903801149567386</v>
      </c>
      <c r="L75" s="62">
        <v>20.811527473904846</v>
      </c>
      <c r="M75" s="62">
        <v>57.284671376527747</v>
      </c>
    </row>
    <row r="76" spans="1:13" s="19" customFormat="1" ht="14.1" customHeight="1" x14ac:dyDescent="0.25">
      <c r="A76" s="37"/>
      <c r="B76" s="38" t="s">
        <v>124</v>
      </c>
      <c r="C76" s="35"/>
      <c r="D76" s="36">
        <v>8241.4803244442137</v>
      </c>
      <c r="E76" s="61">
        <v>100</v>
      </c>
      <c r="F76" s="62">
        <v>10.082759664707426</v>
      </c>
      <c r="G76" s="62">
        <v>8.9373913971868646</v>
      </c>
      <c r="H76" s="62">
        <v>80.979848938105732</v>
      </c>
      <c r="I76" s="156">
        <v>8901.3824418250351</v>
      </c>
      <c r="J76" s="61">
        <v>100</v>
      </c>
      <c r="K76" s="62">
        <v>17.233880717809281</v>
      </c>
      <c r="L76" s="62">
        <v>13.526934563121763</v>
      </c>
      <c r="M76" s="62">
        <v>69.239184719071062</v>
      </c>
    </row>
    <row r="77" spans="1:13" s="19" customFormat="1" ht="14.1" customHeight="1" x14ac:dyDescent="0.25">
      <c r="A77" s="37"/>
      <c r="B77" s="38" t="s">
        <v>221</v>
      </c>
      <c r="C77" s="35"/>
      <c r="D77" s="36">
        <v>3543.8049166605115</v>
      </c>
      <c r="E77" s="61">
        <v>100</v>
      </c>
      <c r="F77" s="62">
        <v>10.231346431120466</v>
      </c>
      <c r="G77" s="62">
        <v>11.974517672018077</v>
      </c>
      <c r="H77" s="62">
        <v>77.794135896861434</v>
      </c>
      <c r="I77" s="156">
        <v>4177.3277297443947</v>
      </c>
      <c r="J77" s="61">
        <v>100</v>
      </c>
      <c r="K77" s="62">
        <v>18.38948972455864</v>
      </c>
      <c r="L77" s="62">
        <v>18.992152607741097</v>
      </c>
      <c r="M77" s="62">
        <v>62.618357667701012</v>
      </c>
    </row>
    <row r="78" spans="1:13" s="19" customFormat="1" ht="14.1" customHeight="1" x14ac:dyDescent="0.25">
      <c r="A78" s="37"/>
      <c r="B78" s="38" t="s">
        <v>215</v>
      </c>
      <c r="C78" s="35"/>
      <c r="D78" s="36">
        <v>2610.4979766428514</v>
      </c>
      <c r="E78" s="61">
        <v>100</v>
      </c>
      <c r="F78" s="62">
        <v>7.5558604526433699</v>
      </c>
      <c r="G78" s="62">
        <v>13.458952818657352</v>
      </c>
      <c r="H78" s="62">
        <v>78.985186728698835</v>
      </c>
      <c r="I78" s="156">
        <v>3238.2740609667708</v>
      </c>
      <c r="J78" s="61">
        <v>100</v>
      </c>
      <c r="K78" s="62">
        <v>18.663044247196481</v>
      </c>
      <c r="L78" s="62">
        <v>18.310382413542744</v>
      </c>
      <c r="M78" s="62">
        <v>63.026573339261525</v>
      </c>
    </row>
    <row r="79" spans="1:13" s="19" customFormat="1" ht="14.1" customHeight="1" x14ac:dyDescent="0.25">
      <c r="A79" s="37"/>
      <c r="B79" s="38" t="s">
        <v>217</v>
      </c>
      <c r="C79" s="35"/>
      <c r="D79" s="36">
        <v>1852.2993376096911</v>
      </c>
      <c r="E79" s="61">
        <v>100</v>
      </c>
      <c r="F79" s="62">
        <v>12.876346967766301</v>
      </c>
      <c r="G79" s="62">
        <v>11.624573727017392</v>
      </c>
      <c r="H79" s="62">
        <v>75.499079305216469</v>
      </c>
      <c r="I79" s="156">
        <v>1974.8060748601395</v>
      </c>
      <c r="J79" s="61">
        <v>100</v>
      </c>
      <c r="K79" s="62">
        <v>22.860685729257256</v>
      </c>
      <c r="L79" s="62">
        <v>13.342516518466677</v>
      </c>
      <c r="M79" s="62">
        <v>63.796797752275928</v>
      </c>
    </row>
    <row r="80" spans="1:13" s="19" customFormat="1" ht="14.1" customHeight="1" x14ac:dyDescent="0.25">
      <c r="A80" s="37"/>
      <c r="B80" s="38" t="s">
        <v>218</v>
      </c>
      <c r="C80" s="35"/>
      <c r="D80" s="36">
        <v>3015.3445562931479</v>
      </c>
      <c r="E80" s="61">
        <v>100</v>
      </c>
      <c r="F80" s="62">
        <v>13.047473220717817</v>
      </c>
      <c r="G80" s="62">
        <v>12.634295381899605</v>
      </c>
      <c r="H80" s="62">
        <v>74.318231397381993</v>
      </c>
      <c r="I80" s="156">
        <v>3529.1150195007808</v>
      </c>
      <c r="J80" s="61">
        <v>100</v>
      </c>
      <c r="K80" s="62">
        <v>19.590836387189125</v>
      </c>
      <c r="L80" s="62">
        <v>15.558960346872395</v>
      </c>
      <c r="M80" s="62">
        <v>64.850203265938958</v>
      </c>
    </row>
    <row r="81" spans="1:13" s="19" customFormat="1" ht="14.1" customHeight="1" x14ac:dyDescent="0.25">
      <c r="A81" s="37"/>
      <c r="B81" s="38" t="s">
        <v>125</v>
      </c>
      <c r="C81" s="35"/>
      <c r="D81" s="36">
        <v>7960.115774631382</v>
      </c>
      <c r="E81" s="61">
        <v>100</v>
      </c>
      <c r="F81" s="62">
        <v>10.642724893136231</v>
      </c>
      <c r="G81" s="62">
        <v>8.2836723183994767</v>
      </c>
      <c r="H81" s="62">
        <v>81.073602788464328</v>
      </c>
      <c r="I81" s="156">
        <v>7649.0460648479748</v>
      </c>
      <c r="J81" s="61">
        <v>100</v>
      </c>
      <c r="K81" s="62">
        <v>20.74801094904166</v>
      </c>
      <c r="L81" s="62">
        <v>11.310027302180167</v>
      </c>
      <c r="M81" s="62">
        <v>67.941961748777885</v>
      </c>
    </row>
    <row r="82" spans="1:13" s="19" customFormat="1" ht="14.1" customHeight="1" x14ac:dyDescent="0.25">
      <c r="A82" s="37"/>
      <c r="B82" s="38" t="s">
        <v>126</v>
      </c>
      <c r="C82" s="35"/>
      <c r="D82" s="36">
        <v>3632.046944447759</v>
      </c>
      <c r="E82" s="61">
        <v>100</v>
      </c>
      <c r="F82" s="62">
        <v>9.7427619067715465</v>
      </c>
      <c r="G82" s="62">
        <v>11.690603136059055</v>
      </c>
      <c r="H82" s="62">
        <v>78.566634957169313</v>
      </c>
      <c r="I82" s="156">
        <v>3514.7958104193744</v>
      </c>
      <c r="J82" s="61">
        <v>100</v>
      </c>
      <c r="K82" s="62">
        <v>20.187860523735687</v>
      </c>
      <c r="L82" s="62">
        <v>13.837218288535064</v>
      </c>
      <c r="M82" s="62">
        <v>65.974921187729635</v>
      </c>
    </row>
    <row r="83" spans="1:13" s="19" customFormat="1" ht="14.1" customHeight="1" x14ac:dyDescent="0.25">
      <c r="A83" s="37"/>
      <c r="B83" s="38" t="s">
        <v>127</v>
      </c>
      <c r="C83" s="35"/>
      <c r="D83" s="36">
        <v>624.21287367733999</v>
      </c>
      <c r="E83" s="61">
        <v>100</v>
      </c>
      <c r="F83" s="62">
        <v>11.582217994901024</v>
      </c>
      <c r="G83" s="62">
        <v>9.4333513358412464</v>
      </c>
      <c r="H83" s="62">
        <v>78.984430669257776</v>
      </c>
      <c r="I83" s="156">
        <v>566.58961684617896</v>
      </c>
      <c r="J83" s="61">
        <v>100</v>
      </c>
      <c r="K83" s="62">
        <v>17.252130056008902</v>
      </c>
      <c r="L83" s="62">
        <v>8.8048744539488499</v>
      </c>
      <c r="M83" s="62">
        <v>73.94299549004225</v>
      </c>
    </row>
    <row r="84" spans="1:13" s="19" customFormat="1" ht="14.1" customHeight="1" x14ac:dyDescent="0.25">
      <c r="A84" s="37"/>
      <c r="B84" s="38" t="s">
        <v>12</v>
      </c>
      <c r="C84" s="35"/>
      <c r="D84" s="36">
        <v>363.9938967071588</v>
      </c>
      <c r="E84" s="61">
        <v>100</v>
      </c>
      <c r="F84" s="62">
        <v>10.745215069556568</v>
      </c>
      <c r="G84" s="62">
        <v>23.737537200686379</v>
      </c>
      <c r="H84" s="62">
        <v>65.517247729757074</v>
      </c>
      <c r="I84" s="156">
        <v>532.00690399328482</v>
      </c>
      <c r="J84" s="61">
        <v>100</v>
      </c>
      <c r="K84" s="62">
        <v>8.5065517357408442</v>
      </c>
      <c r="L84" s="62">
        <v>17.94212082740756</v>
      </c>
      <c r="M84" s="62">
        <v>73.551327436851679</v>
      </c>
    </row>
    <row r="85" spans="1:13" s="19" customFormat="1" ht="14.1" customHeight="1" x14ac:dyDescent="0.25">
      <c r="A85" s="63"/>
      <c r="B85" s="64"/>
      <c r="C85" s="142"/>
      <c r="D85" s="65"/>
      <c r="E85" s="67"/>
      <c r="F85" s="69"/>
      <c r="G85" s="69"/>
      <c r="H85" s="69"/>
      <c r="I85" s="162"/>
      <c r="J85" s="67"/>
      <c r="K85" s="69"/>
      <c r="L85" s="69"/>
      <c r="M85" s="69"/>
    </row>
    <row r="86" spans="1:13" s="19" customFormat="1" ht="14.1" customHeight="1" x14ac:dyDescent="0.25">
      <c r="A86" s="30"/>
      <c r="B86" s="70"/>
      <c r="C86" s="143"/>
      <c r="D86" s="108"/>
      <c r="E86" s="110"/>
      <c r="F86" s="71"/>
      <c r="G86" s="71"/>
      <c r="H86" s="71"/>
      <c r="I86" s="163"/>
      <c r="J86" s="110"/>
      <c r="K86" s="71"/>
      <c r="L86" s="71"/>
      <c r="M86" s="71"/>
    </row>
    <row r="87" spans="1:13" s="19" customFormat="1" ht="14.1" customHeight="1" x14ac:dyDescent="0.25">
      <c r="A87" s="37" t="s">
        <v>62</v>
      </c>
      <c r="B87" s="38"/>
      <c r="C87" s="36"/>
      <c r="D87" s="36"/>
      <c r="E87" s="61"/>
      <c r="F87" s="62"/>
      <c r="G87" s="62"/>
      <c r="H87" s="62"/>
      <c r="I87" s="156"/>
      <c r="J87" s="61"/>
      <c r="K87" s="62"/>
      <c r="L87" s="62"/>
      <c r="M87" s="62"/>
    </row>
    <row r="88" spans="1:13" s="19" customFormat="1" ht="14.1" customHeight="1" x14ac:dyDescent="0.25">
      <c r="A88" s="37"/>
      <c r="B88" s="38" t="s">
        <v>129</v>
      </c>
      <c r="C88" s="35"/>
      <c r="D88" s="36">
        <v>25942.121428121067</v>
      </c>
      <c r="E88" s="61">
        <v>100</v>
      </c>
      <c r="F88" s="62">
        <v>12.740196510438922</v>
      </c>
      <c r="G88" s="62">
        <v>11.61900675847073</v>
      </c>
      <c r="H88" s="62">
        <v>75.640796731089694</v>
      </c>
      <c r="I88" s="156">
        <v>25641.899046108312</v>
      </c>
      <c r="J88" s="61">
        <v>100</v>
      </c>
      <c r="K88" s="62">
        <v>19.86247370991039</v>
      </c>
      <c r="L88" s="62">
        <v>13.044362015591327</v>
      </c>
      <c r="M88" s="62">
        <v>67.093164274503437</v>
      </c>
    </row>
    <row r="89" spans="1:13" s="19" customFormat="1" ht="14.1" customHeight="1" x14ac:dyDescent="0.25">
      <c r="A89" s="37"/>
      <c r="B89" s="38" t="s">
        <v>130</v>
      </c>
      <c r="C89" s="35"/>
      <c r="D89" s="36">
        <v>40698.540746100734</v>
      </c>
      <c r="E89" s="61">
        <v>100</v>
      </c>
      <c r="F89" s="62">
        <v>12.519457524344311</v>
      </c>
      <c r="G89" s="62">
        <v>11.187453443076212</v>
      </c>
      <c r="H89" s="62">
        <v>76.293089032582955</v>
      </c>
      <c r="I89" s="156">
        <v>41739.055634940771</v>
      </c>
      <c r="J89" s="61">
        <v>100</v>
      </c>
      <c r="K89" s="62">
        <v>20.635951879443034</v>
      </c>
      <c r="L89" s="62">
        <v>13.068628667421772</v>
      </c>
      <c r="M89" s="62">
        <v>66.295419453132567</v>
      </c>
    </row>
    <row r="90" spans="1:13" s="19" customFormat="1" ht="14.1" customHeight="1" x14ac:dyDescent="0.25">
      <c r="A90" s="37"/>
      <c r="B90" s="38" t="s">
        <v>131</v>
      </c>
      <c r="C90" s="35"/>
      <c r="D90" s="36">
        <v>40731.200810022143</v>
      </c>
      <c r="E90" s="61">
        <v>100</v>
      </c>
      <c r="F90" s="62">
        <v>13.311159248816747</v>
      </c>
      <c r="G90" s="62">
        <v>9.2954751497634174</v>
      </c>
      <c r="H90" s="62">
        <v>77.39336560141804</v>
      </c>
      <c r="I90" s="156">
        <v>42117.73979556789</v>
      </c>
      <c r="J90" s="61">
        <v>100</v>
      </c>
      <c r="K90" s="62">
        <v>21.510429314708151</v>
      </c>
      <c r="L90" s="62">
        <v>12.412675097807369</v>
      </c>
      <c r="M90" s="62">
        <v>66.076895587481943</v>
      </c>
    </row>
    <row r="91" spans="1:13" s="19" customFormat="1" ht="14.1" customHeight="1" x14ac:dyDescent="0.25">
      <c r="A91" s="37"/>
      <c r="B91" s="38" t="s">
        <v>132</v>
      </c>
      <c r="C91" s="35"/>
      <c r="D91" s="36">
        <v>40993.894043544926</v>
      </c>
      <c r="E91" s="61">
        <v>100</v>
      </c>
      <c r="F91" s="62">
        <v>13.184159658531215</v>
      </c>
      <c r="G91" s="62">
        <v>10.518451916347821</v>
      </c>
      <c r="H91" s="62">
        <v>76.297388425118783</v>
      </c>
      <c r="I91" s="156">
        <v>41726.782962550948</v>
      </c>
      <c r="J91" s="61">
        <v>100</v>
      </c>
      <c r="K91" s="62">
        <v>21.729074662306076</v>
      </c>
      <c r="L91" s="62">
        <v>13.020076036427522</v>
      </c>
      <c r="M91" s="62">
        <v>65.250849301266342</v>
      </c>
    </row>
    <row r="92" spans="1:13" s="19" customFormat="1" ht="14.1" customHeight="1" x14ac:dyDescent="0.25">
      <c r="A92" s="37"/>
      <c r="B92" s="38" t="s">
        <v>133</v>
      </c>
      <c r="C92" s="35"/>
      <c r="D92" s="36">
        <v>38921.395805732405</v>
      </c>
      <c r="E92" s="61">
        <v>100</v>
      </c>
      <c r="F92" s="62">
        <v>14.022044968863954</v>
      </c>
      <c r="G92" s="62">
        <v>10.613023907716835</v>
      </c>
      <c r="H92" s="62">
        <v>75.364931123421641</v>
      </c>
      <c r="I92" s="156">
        <v>39608.121709428968</v>
      </c>
      <c r="J92" s="61">
        <v>100</v>
      </c>
      <c r="K92" s="62">
        <v>21.521535351723244</v>
      </c>
      <c r="L92" s="62">
        <v>12.9269801482709</v>
      </c>
      <c r="M92" s="62">
        <v>65.551484500007462</v>
      </c>
    </row>
    <row r="93" spans="1:13" s="19" customFormat="1" ht="14.1" customHeight="1" x14ac:dyDescent="0.25">
      <c r="A93" s="37"/>
      <c r="B93" s="38" t="s">
        <v>134</v>
      </c>
      <c r="C93" s="35"/>
      <c r="D93" s="36">
        <v>41265.89674957333</v>
      </c>
      <c r="E93" s="61">
        <v>100</v>
      </c>
      <c r="F93" s="62">
        <v>14.063964019004239</v>
      </c>
      <c r="G93" s="62">
        <v>10.310468946165585</v>
      </c>
      <c r="H93" s="62">
        <v>75.62556703483385</v>
      </c>
      <c r="I93" s="156">
        <v>40266.259624815975</v>
      </c>
      <c r="J93" s="61">
        <v>100</v>
      </c>
      <c r="K93" s="62">
        <v>21.738101459324721</v>
      </c>
      <c r="L93" s="62">
        <v>12.351394890032175</v>
      </c>
      <c r="M93" s="62">
        <v>65.910503650641374</v>
      </c>
    </row>
    <row r="94" spans="1:13" s="19" customFormat="1" ht="14.1" customHeight="1" x14ac:dyDescent="0.25">
      <c r="A94" s="37"/>
      <c r="B94" s="38" t="s">
        <v>135</v>
      </c>
      <c r="C94" s="35"/>
      <c r="D94" s="36">
        <v>40226.616719380065</v>
      </c>
      <c r="E94" s="61">
        <v>100</v>
      </c>
      <c r="F94" s="62">
        <v>14.175083420776906</v>
      </c>
      <c r="G94" s="62">
        <v>9.5384575044760087</v>
      </c>
      <c r="H94" s="62">
        <v>76.286459074747484</v>
      </c>
      <c r="I94" s="156">
        <v>40744.794336188315</v>
      </c>
      <c r="J94" s="61">
        <v>100</v>
      </c>
      <c r="K94" s="62">
        <v>21.673793930709614</v>
      </c>
      <c r="L94" s="62">
        <v>11.91710743008278</v>
      </c>
      <c r="M94" s="62">
        <v>66.409098639209063</v>
      </c>
    </row>
    <row r="95" spans="1:13" s="19" customFormat="1" ht="14.1" customHeight="1" x14ac:dyDescent="0.25">
      <c r="A95" s="37"/>
      <c r="B95" s="38" t="s">
        <v>136</v>
      </c>
      <c r="C95" s="35"/>
      <c r="D95" s="36">
        <v>41095.15476210312</v>
      </c>
      <c r="E95" s="61">
        <v>100</v>
      </c>
      <c r="F95" s="62">
        <v>13.796763478434505</v>
      </c>
      <c r="G95" s="62">
        <v>10.013466082850911</v>
      </c>
      <c r="H95" s="62">
        <v>76.189770438716252</v>
      </c>
      <c r="I95" s="156">
        <v>41683.680712269685</v>
      </c>
      <c r="J95" s="61">
        <v>100</v>
      </c>
      <c r="K95" s="62">
        <v>22.394911912331782</v>
      </c>
      <c r="L95" s="62">
        <v>12.429769520470851</v>
      </c>
      <c r="M95" s="62">
        <v>65.175318567196342</v>
      </c>
    </row>
    <row r="96" spans="1:13" s="19" customFormat="1" ht="14.1" customHeight="1" x14ac:dyDescent="0.25">
      <c r="A96" s="37"/>
      <c r="B96" s="38" t="s">
        <v>192</v>
      </c>
      <c r="C96" s="35"/>
      <c r="D96" s="36">
        <v>37483.810689454207</v>
      </c>
      <c r="E96" s="61">
        <v>100</v>
      </c>
      <c r="F96" s="62">
        <v>12.568247600633063</v>
      </c>
      <c r="G96" s="62">
        <v>10.570685650000922</v>
      </c>
      <c r="H96" s="62">
        <v>76.861066749362365</v>
      </c>
      <c r="I96" s="156">
        <v>38299.559345271948</v>
      </c>
      <c r="J96" s="61">
        <v>100</v>
      </c>
      <c r="K96" s="62">
        <v>19.290364563984422</v>
      </c>
      <c r="L96" s="62">
        <v>12.846995515597831</v>
      </c>
      <c r="M96" s="62">
        <v>67.86263992041809</v>
      </c>
    </row>
    <row r="97" spans="1:13" s="19" customFormat="1" ht="14.1" customHeight="1" x14ac:dyDescent="0.25">
      <c r="A97" s="37"/>
      <c r="B97" s="38" t="s">
        <v>194</v>
      </c>
      <c r="C97" s="35"/>
      <c r="D97" s="36">
        <v>37387.471267515692</v>
      </c>
      <c r="E97" s="61">
        <v>100</v>
      </c>
      <c r="F97" s="62">
        <v>11.059385042254817</v>
      </c>
      <c r="G97" s="62">
        <v>11.647236634727131</v>
      </c>
      <c r="H97" s="62">
        <v>77.293378323018942</v>
      </c>
      <c r="I97" s="156">
        <v>36759.991446480693</v>
      </c>
      <c r="J97" s="61">
        <v>100</v>
      </c>
      <c r="K97" s="62">
        <v>17.54107502185985</v>
      </c>
      <c r="L97" s="62">
        <v>15.149639284210766</v>
      </c>
      <c r="M97" s="62">
        <v>67.309285693929723</v>
      </c>
    </row>
    <row r="98" spans="1:13" s="19" customFormat="1" ht="14.1" customHeight="1" x14ac:dyDescent="0.25">
      <c r="A98" s="37"/>
      <c r="B98" s="38" t="s">
        <v>205</v>
      </c>
      <c r="C98" s="35"/>
      <c r="D98" s="36">
        <f t="shared" ref="D98:M98" si="0">D$9</f>
        <v>34519.18782160306</v>
      </c>
      <c r="E98" s="61">
        <f t="shared" si="0"/>
        <v>100</v>
      </c>
      <c r="F98" s="62">
        <f t="shared" si="0"/>
        <v>11.031506117200557</v>
      </c>
      <c r="G98" s="62">
        <f t="shared" si="0"/>
        <v>10.78128131460055</v>
      </c>
      <c r="H98" s="62">
        <f t="shared" si="0"/>
        <v>78.187212568199271</v>
      </c>
      <c r="I98" s="156">
        <f t="shared" si="0"/>
        <v>36091.742518120955</v>
      </c>
      <c r="J98" s="61">
        <f t="shared" si="0"/>
        <v>100</v>
      </c>
      <c r="K98" s="62">
        <f t="shared" si="0"/>
        <v>19.198152188366031</v>
      </c>
      <c r="L98" s="62">
        <f t="shared" si="0"/>
        <v>14.733979358732533</v>
      </c>
      <c r="M98" s="62">
        <f t="shared" si="0"/>
        <v>66.067868452893762</v>
      </c>
    </row>
    <row r="99" spans="1:13" s="23" customFormat="1" ht="5.25" customHeight="1" x14ac:dyDescent="0.25">
      <c r="A99" s="39"/>
      <c r="B99" s="40"/>
      <c r="C99" s="41"/>
      <c r="D99" s="164"/>
      <c r="E99" s="165"/>
      <c r="F99" s="166"/>
      <c r="G99" s="166"/>
      <c r="H99" s="166"/>
      <c r="I99" s="167"/>
      <c r="J99" s="165"/>
      <c r="K99" s="166"/>
      <c r="L99" s="166"/>
      <c r="M99" s="166"/>
    </row>
    <row r="100" spans="1:13" ht="11.1" customHeight="1" x14ac:dyDescent="0.25">
      <c r="C100" s="45"/>
    </row>
    <row r="101" spans="1:13" ht="11.1" customHeight="1" x14ac:dyDescent="0.25">
      <c r="C101" s="45"/>
    </row>
    <row r="102" spans="1:13" ht="11.1" customHeight="1" x14ac:dyDescent="0.25">
      <c r="C102" s="45"/>
    </row>
  </sheetData>
  <mergeCells count="16">
    <mergeCell ref="D6:D8"/>
    <mergeCell ref="I6:I8"/>
    <mergeCell ref="A1:M1"/>
    <mergeCell ref="A3:M3"/>
    <mergeCell ref="A5:C8"/>
    <mergeCell ref="D5:H5"/>
    <mergeCell ref="I5:M5"/>
    <mergeCell ref="M7:M8"/>
    <mergeCell ref="F7:F8"/>
    <mergeCell ref="G7:G8"/>
    <mergeCell ref="A2:M2"/>
    <mergeCell ref="L7:L8"/>
    <mergeCell ref="H7:H8"/>
    <mergeCell ref="E6:E8"/>
    <mergeCell ref="J6:J8"/>
    <mergeCell ref="K7:K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5" max="1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8036-D972-4DC3-9F24-C75DF537CF2D}">
  <sheetPr codeName="工作表25"/>
  <dimension ref="A1:AB77"/>
  <sheetViews>
    <sheetView showGridLines="0" view="pageBreakPreview" zoomScale="90" zoomScaleNormal="85" zoomScaleSheetLayoutView="90" workbookViewId="0">
      <selection activeCell="Q4" sqref="Q4"/>
    </sheetView>
  </sheetViews>
  <sheetFormatPr defaultColWidth="9" defaultRowHeight="11.1" customHeight="1" x14ac:dyDescent="0.25"/>
  <cols>
    <col min="1" max="1" width="1.875" style="18" customWidth="1"/>
    <col min="2" max="2" width="13.5" style="44" customWidth="1"/>
    <col min="3" max="3" width="3.25" style="48" customWidth="1"/>
    <col min="4" max="25" width="6.625" style="47" customWidth="1"/>
    <col min="26" max="16384" width="9" style="46"/>
  </cols>
  <sheetData>
    <row r="1" spans="1:28" s="14" customFormat="1" ht="22.15" customHeight="1" x14ac:dyDescent="0.25">
      <c r="A1" s="255" t="s">
        <v>261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3" t="s">
        <v>262</v>
      </c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2"/>
      <c r="AA1" s="22"/>
      <c r="AB1" s="22"/>
    </row>
    <row r="2" spans="1:28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84" t="s">
        <v>281</v>
      </c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2"/>
      <c r="AA2" s="22"/>
      <c r="AB2" s="22"/>
    </row>
    <row r="3" spans="1:28" s="19" customFormat="1" ht="13.5" customHeight="1" x14ac:dyDescent="0.25">
      <c r="A3" s="257" t="s">
        <v>96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85" t="s">
        <v>105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48"/>
      <c r="AA3" s="48"/>
      <c r="AB3" s="48"/>
    </row>
    <row r="4" spans="1:28" s="28" customFormat="1" ht="13.5" x14ac:dyDescent="0.25">
      <c r="A4" s="135" t="s">
        <v>20</v>
      </c>
      <c r="B4" s="135"/>
      <c r="C4" s="135"/>
      <c r="D4" s="26"/>
      <c r="E4" s="26"/>
      <c r="F4" s="26"/>
      <c r="G4" s="27"/>
      <c r="H4" s="27"/>
      <c r="I4" s="27"/>
      <c r="J4" s="27"/>
      <c r="K4" s="27"/>
      <c r="L4" s="27"/>
      <c r="M4" s="27"/>
      <c r="N4" s="27" t="s">
        <v>157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 t="s">
        <v>157</v>
      </c>
    </row>
    <row r="5" spans="1:28" s="19" customFormat="1" ht="45.75" customHeight="1" x14ac:dyDescent="0.25">
      <c r="A5" s="262" t="s">
        <v>21</v>
      </c>
      <c r="B5" s="262"/>
      <c r="C5" s="263"/>
      <c r="D5" s="136" t="s">
        <v>24</v>
      </c>
      <c r="E5" s="136" t="s">
        <v>25</v>
      </c>
      <c r="F5" s="136" t="s">
        <v>26</v>
      </c>
      <c r="G5" s="137" t="s">
        <v>27</v>
      </c>
      <c r="H5" s="137" t="s">
        <v>28</v>
      </c>
      <c r="I5" s="137" t="s">
        <v>29</v>
      </c>
      <c r="J5" s="137" t="s">
        <v>30</v>
      </c>
      <c r="K5" s="137" t="s">
        <v>31</v>
      </c>
      <c r="L5" s="137" t="s">
        <v>32</v>
      </c>
      <c r="M5" s="137" t="s">
        <v>33</v>
      </c>
      <c r="N5" s="137" t="s">
        <v>34</v>
      </c>
      <c r="O5" s="137" t="s">
        <v>35</v>
      </c>
      <c r="P5" s="137" t="s">
        <v>36</v>
      </c>
      <c r="Q5" s="137" t="s">
        <v>37</v>
      </c>
      <c r="R5" s="137" t="s">
        <v>38</v>
      </c>
      <c r="S5" s="137" t="s">
        <v>39</v>
      </c>
      <c r="T5" s="137" t="s">
        <v>40</v>
      </c>
      <c r="U5" s="137" t="s">
        <v>41</v>
      </c>
      <c r="V5" s="137" t="s">
        <v>42</v>
      </c>
      <c r="W5" s="137" t="s">
        <v>43</v>
      </c>
      <c r="X5" s="137" t="s">
        <v>44</v>
      </c>
      <c r="Y5" s="137" t="s">
        <v>45</v>
      </c>
    </row>
    <row r="6" spans="1:28" s="19" customFormat="1" ht="4.5" customHeight="1" x14ac:dyDescent="0.25">
      <c r="A6" s="30"/>
      <c r="B6" s="31"/>
      <c r="C6" s="32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8" s="19" customFormat="1" ht="4.5" hidden="1" customHeight="1" x14ac:dyDescent="0.25">
      <c r="A7" s="37"/>
      <c r="B7" s="138"/>
      <c r="C7" s="29"/>
      <c r="D7" s="139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8" s="19" customFormat="1" ht="4.5" hidden="1" customHeight="1" x14ac:dyDescent="0.25">
      <c r="A8" s="37"/>
      <c r="B8" s="138"/>
      <c r="C8" s="29"/>
      <c r="D8" s="139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spans="1:28" s="18" customFormat="1" ht="14.45" customHeight="1" x14ac:dyDescent="0.25">
      <c r="A9" s="33" t="s">
        <v>22</v>
      </c>
      <c r="B9" s="54"/>
      <c r="C9" s="141"/>
      <c r="D9" s="57">
        <v>29.022312775316411</v>
      </c>
      <c r="E9" s="58">
        <v>38.331317629269911</v>
      </c>
      <c r="F9" s="58">
        <v>12.943645952262127</v>
      </c>
      <c r="G9" s="58">
        <v>9.0082473417590023</v>
      </c>
      <c r="H9" s="58">
        <v>4.9273884883642314</v>
      </c>
      <c r="I9" s="58">
        <v>10.190651823749789</v>
      </c>
      <c r="J9" s="58">
        <v>8.3201713019705839</v>
      </c>
      <c r="K9" s="58">
        <v>6.923085791484759</v>
      </c>
      <c r="L9" s="58">
        <v>6.8143924154647859</v>
      </c>
      <c r="M9" s="58">
        <v>3.4478565265061993</v>
      </c>
      <c r="N9" s="58">
        <v>3.325239038165047</v>
      </c>
      <c r="O9" s="58">
        <v>3.8018242629028753</v>
      </c>
      <c r="P9" s="58">
        <v>4.4064473825481825</v>
      </c>
      <c r="Q9" s="58">
        <v>4.0721625077748449</v>
      </c>
      <c r="R9" s="58">
        <v>5.4019043222785603</v>
      </c>
      <c r="S9" s="58">
        <v>5.039814177553442</v>
      </c>
      <c r="T9" s="58">
        <v>5.606016836790265</v>
      </c>
      <c r="U9" s="58">
        <v>33.371023516183769</v>
      </c>
      <c r="V9" s="58">
        <v>6.8478047114534135</v>
      </c>
      <c r="W9" s="58">
        <v>4.1896617567902332</v>
      </c>
      <c r="X9" s="58">
        <v>5.9422513303622111</v>
      </c>
      <c r="Y9" s="58">
        <v>9.9172226222589863</v>
      </c>
    </row>
    <row r="10" spans="1:28" s="19" customFormat="1" ht="14.45" customHeight="1" x14ac:dyDescent="0.25">
      <c r="A10" s="33" t="s">
        <v>46</v>
      </c>
      <c r="B10" s="34"/>
      <c r="C10" s="35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8" s="19" customFormat="1" ht="14.45" customHeight="1" x14ac:dyDescent="0.25">
      <c r="A11" s="37"/>
      <c r="B11" s="38" t="s">
        <v>47</v>
      </c>
      <c r="C11" s="35"/>
      <c r="D11" s="61">
        <v>18.022899498726996</v>
      </c>
      <c r="E11" s="62">
        <v>28.335742455975787</v>
      </c>
      <c r="F11" s="62">
        <v>6.6166673293931986</v>
      </c>
      <c r="G11" s="62">
        <v>8.8052520832019212</v>
      </c>
      <c r="H11" s="62">
        <v>3.0855790522404205</v>
      </c>
      <c r="I11" s="62">
        <v>12.009960480409989</v>
      </c>
      <c r="J11" s="62">
        <v>5.2552870371837033</v>
      </c>
      <c r="K11" s="62">
        <v>6.4556987585455596</v>
      </c>
      <c r="L11" s="62">
        <v>8.3074176467856446</v>
      </c>
      <c r="M11" s="62">
        <v>3.1115781038770001</v>
      </c>
      <c r="N11" s="62">
        <v>3.2062946532658958</v>
      </c>
      <c r="O11" s="62">
        <v>3.287848313313515</v>
      </c>
      <c r="P11" s="62">
        <v>1.6119409346729423</v>
      </c>
      <c r="Q11" s="62">
        <v>3.4747750704792533</v>
      </c>
      <c r="R11" s="62">
        <v>5.2855455186206433</v>
      </c>
      <c r="S11" s="62">
        <v>4.088221568246456</v>
      </c>
      <c r="T11" s="62">
        <v>5.7304526801466817</v>
      </c>
      <c r="U11" s="62">
        <v>24.290902655896584</v>
      </c>
      <c r="V11" s="62">
        <v>5.4701173728245109</v>
      </c>
      <c r="W11" s="62">
        <v>3.7787689180850239</v>
      </c>
      <c r="X11" s="62">
        <v>2.7709397953280797</v>
      </c>
      <c r="Y11" s="62">
        <v>3.8397838622391625</v>
      </c>
    </row>
    <row r="12" spans="1:28" s="19" customFormat="1" ht="14.45" customHeight="1" x14ac:dyDescent="0.25">
      <c r="A12" s="37"/>
      <c r="B12" s="38" t="s">
        <v>48</v>
      </c>
      <c r="C12" s="35"/>
      <c r="D12" s="61">
        <v>39.414732201389803</v>
      </c>
      <c r="E12" s="62">
        <v>46.50409894628369</v>
      </c>
      <c r="F12" s="62">
        <v>18.547350065412694</v>
      </c>
      <c r="G12" s="62">
        <v>9.2233390682580616</v>
      </c>
      <c r="H12" s="62">
        <v>6.6460261375452001</v>
      </c>
      <c r="I12" s="62">
        <v>8.3821827855274371</v>
      </c>
      <c r="J12" s="62">
        <v>10.925832081688332</v>
      </c>
      <c r="K12" s="62">
        <v>7.3588503965936676</v>
      </c>
      <c r="L12" s="62">
        <v>5.3119765552358933</v>
      </c>
      <c r="M12" s="62">
        <v>3.8281094406378426</v>
      </c>
      <c r="N12" s="62">
        <v>3.4621969350350796</v>
      </c>
      <c r="O12" s="62">
        <v>4.3240268953733096</v>
      </c>
      <c r="P12" s="62">
        <v>7.4045646863213666</v>
      </c>
      <c r="Q12" s="62">
        <v>4.7176536509617364</v>
      </c>
      <c r="R12" s="62">
        <v>5.5366109459656601</v>
      </c>
      <c r="S12" s="62">
        <v>5.9525056651446127</v>
      </c>
      <c r="T12" s="62">
        <v>5.494412971807261</v>
      </c>
      <c r="U12" s="62">
        <v>40.79104465493208</v>
      </c>
      <c r="V12" s="62">
        <v>8.1583667324269893</v>
      </c>
      <c r="W12" s="62">
        <v>4.5475197485808154</v>
      </c>
      <c r="X12" s="62">
        <v>9.0028575626659926</v>
      </c>
      <c r="Y12" s="62">
        <v>17.978350044749806</v>
      </c>
    </row>
    <row r="13" spans="1:28" s="19" customFormat="1" ht="14.45" customHeight="1" x14ac:dyDescent="0.25">
      <c r="A13" s="37" t="s">
        <v>49</v>
      </c>
      <c r="B13" s="38"/>
      <c r="C13" s="35"/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8" s="19" customFormat="1" ht="14.45" customHeight="1" x14ac:dyDescent="0.25">
      <c r="A14" s="37"/>
      <c r="B14" s="38" t="s">
        <v>107</v>
      </c>
      <c r="C14" s="35"/>
      <c r="D14" s="61">
        <v>56.705059076225574</v>
      </c>
      <c r="E14" s="62">
        <v>57.640242377329095</v>
      </c>
      <c r="F14" s="62">
        <v>42.663252572826046</v>
      </c>
      <c r="G14" s="62">
        <v>42.425392827190642</v>
      </c>
      <c r="H14" s="62">
        <v>26.866177401393831</v>
      </c>
      <c r="I14" s="62">
        <v>41.243074219424543</v>
      </c>
      <c r="J14" s="62">
        <v>33.526873431705972</v>
      </c>
      <c r="K14" s="62">
        <v>37.534315979302015</v>
      </c>
      <c r="L14" s="62">
        <v>36.283292190755979</v>
      </c>
      <c r="M14" s="62">
        <v>32.860097445847174</v>
      </c>
      <c r="N14" s="62">
        <v>42.399430364990998</v>
      </c>
      <c r="O14" s="62">
        <v>40.772275052629865</v>
      </c>
      <c r="P14" s="62">
        <v>18.591758145773319</v>
      </c>
      <c r="Q14" s="62">
        <v>24.455467002426602</v>
      </c>
      <c r="R14" s="62">
        <v>23.22230922892895</v>
      </c>
      <c r="S14" s="62">
        <v>23.044013921230317</v>
      </c>
      <c r="T14" s="62">
        <v>52.409823435035584</v>
      </c>
      <c r="U14" s="62">
        <v>56.112237714205961</v>
      </c>
      <c r="V14" s="62">
        <v>33.445771183874847</v>
      </c>
      <c r="W14" s="62">
        <v>19.076730192801229</v>
      </c>
      <c r="X14" s="62">
        <v>40.202966027200468</v>
      </c>
      <c r="Y14" s="62">
        <v>52.337438723258536</v>
      </c>
    </row>
    <row r="15" spans="1:28" s="19" customFormat="1" ht="14.45" customHeight="1" x14ac:dyDescent="0.25">
      <c r="A15" s="37"/>
      <c r="B15" s="38" t="s">
        <v>108</v>
      </c>
      <c r="C15" s="35"/>
      <c r="D15" s="61">
        <v>46.604747216551786</v>
      </c>
      <c r="E15" s="62">
        <v>49.921965560408346</v>
      </c>
      <c r="F15" s="62">
        <v>27.58521902300857</v>
      </c>
      <c r="G15" s="62">
        <v>17.07338395289392</v>
      </c>
      <c r="H15" s="62">
        <v>15.917577324370907</v>
      </c>
      <c r="I15" s="62">
        <v>7.8710603531209946</v>
      </c>
      <c r="J15" s="62">
        <v>13.711866129432861</v>
      </c>
      <c r="K15" s="62">
        <v>9.7811270895127844</v>
      </c>
      <c r="L15" s="62">
        <v>39.263305122616963</v>
      </c>
      <c r="M15" s="62">
        <v>11.754439972529616</v>
      </c>
      <c r="N15" s="62">
        <v>7.1581753270749937</v>
      </c>
      <c r="O15" s="62">
        <v>25.886088905057022</v>
      </c>
      <c r="P15" s="62">
        <v>16.515416220783997</v>
      </c>
      <c r="Q15" s="62">
        <v>71.87312457505449</v>
      </c>
      <c r="R15" s="62">
        <v>31.386885556269007</v>
      </c>
      <c r="S15" s="62">
        <v>2.9593459940089399</v>
      </c>
      <c r="T15" s="62">
        <v>10.379721725451617</v>
      </c>
      <c r="U15" s="62">
        <v>54.495967286123658</v>
      </c>
      <c r="V15" s="62">
        <v>24.621464027278133</v>
      </c>
      <c r="W15" s="62">
        <v>10.588018860630283</v>
      </c>
      <c r="X15" s="62">
        <v>20.200576663826666</v>
      </c>
      <c r="Y15" s="62">
        <v>10.570343803861185</v>
      </c>
    </row>
    <row r="16" spans="1:28" s="19" customFormat="1" ht="14.45" customHeight="1" x14ac:dyDescent="0.25">
      <c r="A16" s="37"/>
      <c r="B16" s="38" t="s">
        <v>109</v>
      </c>
      <c r="C16" s="35"/>
      <c r="D16" s="61">
        <v>32.078937033365911</v>
      </c>
      <c r="E16" s="62">
        <v>43.767577448232906</v>
      </c>
      <c r="F16" s="62">
        <v>14.621981312776187</v>
      </c>
      <c r="G16" s="62">
        <v>17.870161053838594</v>
      </c>
      <c r="H16" s="62">
        <v>3.0019167568681233</v>
      </c>
      <c r="I16" s="62">
        <v>14.230378147784627</v>
      </c>
      <c r="J16" s="62">
        <v>13.942343356159558</v>
      </c>
      <c r="K16" s="62">
        <v>13.52334375783423</v>
      </c>
      <c r="L16" s="62">
        <v>5.4892282351266184</v>
      </c>
      <c r="M16" s="62">
        <v>4.8667637370864991</v>
      </c>
      <c r="N16" s="62">
        <v>2.840846045797464</v>
      </c>
      <c r="O16" s="62">
        <v>2.0990926489285053</v>
      </c>
      <c r="P16" s="62">
        <v>0.502098829845399</v>
      </c>
      <c r="Q16" s="62">
        <v>3.1801683644379453</v>
      </c>
      <c r="R16" s="62">
        <v>3.406286389597617</v>
      </c>
      <c r="S16" s="62">
        <v>7.6933072899428367</v>
      </c>
      <c r="T16" s="62">
        <v>3.7031891703366839</v>
      </c>
      <c r="U16" s="62">
        <v>46.069173023147435</v>
      </c>
      <c r="V16" s="62">
        <v>4.5087587824414266</v>
      </c>
      <c r="W16" s="62">
        <v>15.729002640966758</v>
      </c>
      <c r="X16" s="62">
        <v>2.1951937249714235</v>
      </c>
      <c r="Y16" s="62">
        <v>4.1084517723222982</v>
      </c>
    </row>
    <row r="17" spans="1:25" s="19" customFormat="1" ht="14.45" customHeight="1" x14ac:dyDescent="0.25">
      <c r="A17" s="33"/>
      <c r="B17" s="38" t="s">
        <v>110</v>
      </c>
      <c r="C17" s="35"/>
      <c r="D17" s="61">
        <v>25.574280901842187</v>
      </c>
      <c r="E17" s="62">
        <v>40.07938569764174</v>
      </c>
      <c r="F17" s="62">
        <v>10.35521913918457</v>
      </c>
      <c r="G17" s="62">
        <v>3.5011793077079196</v>
      </c>
      <c r="H17" s="62">
        <v>8.2586958062484666</v>
      </c>
      <c r="I17" s="62">
        <v>9.4620201243168847</v>
      </c>
      <c r="J17" s="62">
        <v>4.4425954511423207</v>
      </c>
      <c r="K17" s="62">
        <v>0.54928245994102454</v>
      </c>
      <c r="L17" s="62">
        <v>1.2909368486808737</v>
      </c>
      <c r="M17" s="62">
        <v>0.49260020989955589</v>
      </c>
      <c r="N17" s="62">
        <v>1.869964226568378</v>
      </c>
      <c r="O17" s="62">
        <v>0.28663066812769844</v>
      </c>
      <c r="P17" s="62">
        <v>0.42768466680543921</v>
      </c>
      <c r="Q17" s="62">
        <v>0.82020711418345049</v>
      </c>
      <c r="R17" s="62">
        <v>7.1824708668135369</v>
      </c>
      <c r="S17" s="62">
        <v>8.2371010137623806</v>
      </c>
      <c r="T17" s="62">
        <v>4.2613286848834244</v>
      </c>
      <c r="U17" s="62">
        <v>32.105742475334623</v>
      </c>
      <c r="V17" s="62">
        <v>2.4963895107627319</v>
      </c>
      <c r="W17" s="62">
        <v>0.15699544755937037</v>
      </c>
      <c r="X17" s="62">
        <v>0.95269569253858577</v>
      </c>
      <c r="Y17" s="62">
        <v>23.429640964289103</v>
      </c>
    </row>
    <row r="18" spans="1:25" s="19" customFormat="1" ht="14.45" customHeight="1" x14ac:dyDescent="0.25">
      <c r="A18" s="37"/>
      <c r="B18" s="38" t="s">
        <v>111</v>
      </c>
      <c r="C18" s="35"/>
      <c r="D18" s="61">
        <v>22.085455782583693</v>
      </c>
      <c r="E18" s="62">
        <v>32.616509936826041</v>
      </c>
      <c r="F18" s="62">
        <v>8.9078524456465846</v>
      </c>
      <c r="G18" s="62">
        <v>3.8779700078733783</v>
      </c>
      <c r="H18" s="62">
        <v>4.0485119323929615</v>
      </c>
      <c r="I18" s="62">
        <v>8.4468782088238665</v>
      </c>
      <c r="J18" s="62">
        <v>9.3742387575392172</v>
      </c>
      <c r="K18" s="62">
        <v>3.3097807404163877</v>
      </c>
      <c r="L18" s="62">
        <v>6.6217263767088621</v>
      </c>
      <c r="M18" s="62">
        <v>0.37570004189397027</v>
      </c>
      <c r="N18" s="62">
        <v>1.5132168501104797</v>
      </c>
      <c r="O18" s="62">
        <v>2.3517413930988349</v>
      </c>
      <c r="P18" s="62">
        <v>0</v>
      </c>
      <c r="Q18" s="62">
        <v>4.2940343559283098</v>
      </c>
      <c r="R18" s="62">
        <v>7.3603591216989317</v>
      </c>
      <c r="S18" s="62">
        <v>1.0181887905840528</v>
      </c>
      <c r="T18" s="62">
        <v>1.5305421495856355</v>
      </c>
      <c r="U18" s="62">
        <v>13.327561308679959</v>
      </c>
      <c r="V18" s="62">
        <v>3.9591807649882238</v>
      </c>
      <c r="W18" s="62">
        <v>0.85763441911351623</v>
      </c>
      <c r="X18" s="62">
        <v>6.5287410727029744</v>
      </c>
      <c r="Y18" s="62">
        <v>2.8121053491828834</v>
      </c>
    </row>
    <row r="19" spans="1:25" s="19" customFormat="1" ht="14.45" customHeight="1" x14ac:dyDescent="0.25">
      <c r="A19" s="37"/>
      <c r="B19" s="38" t="s">
        <v>112</v>
      </c>
      <c r="C19" s="35"/>
      <c r="D19" s="61">
        <v>22.774875620694292</v>
      </c>
      <c r="E19" s="62">
        <v>30.485231544855356</v>
      </c>
      <c r="F19" s="62">
        <v>14.973981097486224</v>
      </c>
      <c r="G19" s="62">
        <v>4.904910531356288</v>
      </c>
      <c r="H19" s="62">
        <v>1.5890962489721989</v>
      </c>
      <c r="I19" s="62">
        <v>6.6928960217056668</v>
      </c>
      <c r="J19" s="62">
        <v>4.4329191366314502</v>
      </c>
      <c r="K19" s="62">
        <v>6.7205009129391362</v>
      </c>
      <c r="L19" s="62">
        <v>3.5677131180921493</v>
      </c>
      <c r="M19" s="62">
        <v>1.7895981367248013</v>
      </c>
      <c r="N19" s="62">
        <v>1.3773490961054489</v>
      </c>
      <c r="O19" s="62">
        <v>0.91453598065765751</v>
      </c>
      <c r="P19" s="62">
        <v>14.381884881046757</v>
      </c>
      <c r="Q19" s="62">
        <v>2.3304320128549585</v>
      </c>
      <c r="R19" s="62">
        <v>3.7821445466544246</v>
      </c>
      <c r="S19" s="62">
        <v>4.5295014258462452</v>
      </c>
      <c r="T19" s="62">
        <v>2.8313412937319926</v>
      </c>
      <c r="U19" s="62">
        <v>28.629808457426218</v>
      </c>
      <c r="V19" s="62">
        <v>3.1355238097741549</v>
      </c>
      <c r="W19" s="62">
        <v>1.5824628074593523</v>
      </c>
      <c r="X19" s="62">
        <v>3.5302702258038066</v>
      </c>
      <c r="Y19" s="62">
        <v>2.8231087708356801</v>
      </c>
    </row>
    <row r="20" spans="1:25" s="19" customFormat="1" ht="14.45" customHeight="1" x14ac:dyDescent="0.25">
      <c r="A20" s="37"/>
      <c r="B20" s="38" t="s">
        <v>113</v>
      </c>
      <c r="C20" s="35"/>
      <c r="D20" s="61">
        <v>31.171946432386136</v>
      </c>
      <c r="E20" s="62">
        <v>31.699682636532575</v>
      </c>
      <c r="F20" s="62">
        <v>5.6675604779337476</v>
      </c>
      <c r="G20" s="62">
        <v>10.843922154020424</v>
      </c>
      <c r="H20" s="62">
        <v>1.4942240017911383</v>
      </c>
      <c r="I20" s="62">
        <v>5.005984865284022</v>
      </c>
      <c r="J20" s="62">
        <v>1.2165257588759075</v>
      </c>
      <c r="K20" s="62">
        <v>0.93029557109780481</v>
      </c>
      <c r="L20" s="62">
        <v>7.6820761554988666</v>
      </c>
      <c r="M20" s="62">
        <v>1.7189871117461402</v>
      </c>
      <c r="N20" s="62">
        <v>3.9434871810361929</v>
      </c>
      <c r="O20" s="62">
        <v>2.5827879712259936</v>
      </c>
      <c r="P20" s="62">
        <v>4.833837071491482</v>
      </c>
      <c r="Q20" s="62">
        <v>0.17069803555391613</v>
      </c>
      <c r="R20" s="62">
        <v>2.2919133458321723</v>
      </c>
      <c r="S20" s="62">
        <v>0.74056070684598729</v>
      </c>
      <c r="T20" s="62">
        <v>4.9081844618418646</v>
      </c>
      <c r="U20" s="62">
        <v>20.90745156640331</v>
      </c>
      <c r="V20" s="62">
        <v>10.597583676063104</v>
      </c>
      <c r="W20" s="62">
        <v>5.0974351798260855</v>
      </c>
      <c r="X20" s="62">
        <v>8.1313449386600691</v>
      </c>
      <c r="Y20" s="62">
        <v>1.0436382142590381</v>
      </c>
    </row>
    <row r="21" spans="1:25" s="19" customFormat="1" ht="14.45" customHeight="1" x14ac:dyDescent="0.25">
      <c r="A21" s="37"/>
      <c r="B21" s="38" t="s">
        <v>114</v>
      </c>
      <c r="C21" s="35"/>
      <c r="D21" s="61">
        <v>36.640963016648925</v>
      </c>
      <c r="E21" s="62">
        <v>45.176141863301744</v>
      </c>
      <c r="F21" s="62">
        <v>13.85030139868493</v>
      </c>
      <c r="G21" s="62">
        <v>12.043777385065528</v>
      </c>
      <c r="H21" s="62">
        <v>2.681207410353077</v>
      </c>
      <c r="I21" s="62">
        <v>12.173225440992969</v>
      </c>
      <c r="J21" s="62">
        <v>5.6316430807662297</v>
      </c>
      <c r="K21" s="62">
        <v>9.3989743350021087</v>
      </c>
      <c r="L21" s="62">
        <v>8.3744569629852901</v>
      </c>
      <c r="M21" s="62">
        <v>3.4488982402501094</v>
      </c>
      <c r="N21" s="62">
        <v>3.7690567245704747</v>
      </c>
      <c r="O21" s="62">
        <v>4.7669398217199861</v>
      </c>
      <c r="P21" s="62">
        <v>0.93875077921002403</v>
      </c>
      <c r="Q21" s="62">
        <v>3.5122687229279719</v>
      </c>
      <c r="R21" s="62">
        <v>2.9605836826208125</v>
      </c>
      <c r="S21" s="62">
        <v>7.7792306174942212</v>
      </c>
      <c r="T21" s="62">
        <v>10.216325395572309</v>
      </c>
      <c r="U21" s="62">
        <v>52.392013337229884</v>
      </c>
      <c r="V21" s="62">
        <v>11.489524884926364</v>
      </c>
      <c r="W21" s="62">
        <v>3.1050116575980429</v>
      </c>
      <c r="X21" s="62">
        <v>12.68118402938827</v>
      </c>
      <c r="Y21" s="62">
        <v>2.4913863842631652</v>
      </c>
    </row>
    <row r="22" spans="1:25" s="19" customFormat="1" ht="14.45" customHeight="1" x14ac:dyDescent="0.25">
      <c r="A22" s="37" t="s">
        <v>50</v>
      </c>
      <c r="B22" s="38"/>
      <c r="C22" s="35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s="19" customFormat="1" ht="14.45" customHeight="1" x14ac:dyDescent="0.25">
      <c r="A23" s="37"/>
      <c r="B23" s="38" t="s">
        <v>3</v>
      </c>
      <c r="C23" s="35"/>
      <c r="D23" s="61">
        <v>30.193498505441003</v>
      </c>
      <c r="E23" s="62">
        <v>37.146529795527023</v>
      </c>
      <c r="F23" s="62">
        <v>13.056261279723886</v>
      </c>
      <c r="G23" s="62">
        <v>8.3565233212803935</v>
      </c>
      <c r="H23" s="62">
        <v>4.6708452201122714</v>
      </c>
      <c r="I23" s="62">
        <v>1.5013718081117606</v>
      </c>
      <c r="J23" s="62">
        <v>7.489161867662232</v>
      </c>
      <c r="K23" s="62">
        <v>4.885602877014696</v>
      </c>
      <c r="L23" s="62">
        <v>4.4836456609640543</v>
      </c>
      <c r="M23" s="62">
        <v>2.7039697273062226</v>
      </c>
      <c r="N23" s="62">
        <v>3.5599729199837724</v>
      </c>
      <c r="O23" s="62">
        <v>3.2483545416975095</v>
      </c>
      <c r="P23" s="62">
        <v>0.54836259401237508</v>
      </c>
      <c r="Q23" s="62">
        <v>4.0683112969023218</v>
      </c>
      <c r="R23" s="62">
        <v>2.0346922419047813</v>
      </c>
      <c r="S23" s="62">
        <v>9.7524185497585467</v>
      </c>
      <c r="T23" s="62">
        <v>12.779055854685012</v>
      </c>
      <c r="U23" s="62">
        <v>43.817172959779718</v>
      </c>
      <c r="V23" s="62">
        <v>6.3057942790899473</v>
      </c>
      <c r="W23" s="62">
        <v>2.3489988774711046</v>
      </c>
      <c r="X23" s="62">
        <v>17.994638201609185</v>
      </c>
      <c r="Y23" s="62">
        <v>0</v>
      </c>
    </row>
    <row r="24" spans="1:25" s="19" customFormat="1" ht="14.45" customHeight="1" x14ac:dyDescent="0.25">
      <c r="A24" s="37"/>
      <c r="B24" s="38" t="s">
        <v>115</v>
      </c>
      <c r="C24" s="35"/>
      <c r="D24" s="61">
        <v>17.182207283395176</v>
      </c>
      <c r="E24" s="62">
        <v>38.845387016968033</v>
      </c>
      <c r="F24" s="62">
        <v>9.9307060181451341</v>
      </c>
      <c r="G24" s="62">
        <v>4.3385449840007002</v>
      </c>
      <c r="H24" s="62">
        <v>1.5960035780719175</v>
      </c>
      <c r="I24" s="62">
        <v>5.6258289141811897</v>
      </c>
      <c r="J24" s="62">
        <v>7.4443640927380699</v>
      </c>
      <c r="K24" s="62">
        <v>11.397829993049616</v>
      </c>
      <c r="L24" s="62">
        <v>9.5617062782383009</v>
      </c>
      <c r="M24" s="62">
        <v>2.2758727935204748</v>
      </c>
      <c r="N24" s="62">
        <v>1.0934017657634851</v>
      </c>
      <c r="O24" s="62">
        <v>4.1904098828474901</v>
      </c>
      <c r="P24" s="62">
        <v>21.296995818300626</v>
      </c>
      <c r="Q24" s="62">
        <v>2.6991646791621728</v>
      </c>
      <c r="R24" s="62">
        <v>3.944833996328371</v>
      </c>
      <c r="S24" s="62">
        <v>3.0850636278805474</v>
      </c>
      <c r="T24" s="62">
        <v>2.5280109134177806</v>
      </c>
      <c r="U24" s="62">
        <v>10.40964156575834</v>
      </c>
      <c r="V24" s="62">
        <v>19.192066955050791</v>
      </c>
      <c r="W24" s="62">
        <v>1.7114568435488651</v>
      </c>
      <c r="X24" s="62">
        <v>10.677352220813793</v>
      </c>
      <c r="Y24" s="62">
        <v>0</v>
      </c>
    </row>
    <row r="25" spans="1:25" s="19" customFormat="1" ht="14.45" customHeight="1" x14ac:dyDescent="0.25">
      <c r="A25" s="37"/>
      <c r="B25" s="38" t="s">
        <v>116</v>
      </c>
      <c r="C25" s="35"/>
      <c r="D25" s="61">
        <v>24.802113493057451</v>
      </c>
      <c r="E25" s="62">
        <v>34.399555038001566</v>
      </c>
      <c r="F25" s="62">
        <v>10.986037355250213</v>
      </c>
      <c r="G25" s="62">
        <v>15.730139026290271</v>
      </c>
      <c r="H25" s="62">
        <v>4.9066249979959018</v>
      </c>
      <c r="I25" s="62">
        <v>8.0217812902980086</v>
      </c>
      <c r="J25" s="62">
        <v>7.4892020668980352</v>
      </c>
      <c r="K25" s="62">
        <v>11.403720434857501</v>
      </c>
      <c r="L25" s="62">
        <v>10.365425853212475</v>
      </c>
      <c r="M25" s="62">
        <v>5.5719380017137414</v>
      </c>
      <c r="N25" s="62">
        <v>5.6427482539027167</v>
      </c>
      <c r="O25" s="62">
        <v>5.8753710308768596</v>
      </c>
      <c r="P25" s="62">
        <v>1.2244004882603616</v>
      </c>
      <c r="Q25" s="62">
        <v>4.9831498424161813</v>
      </c>
      <c r="R25" s="62">
        <v>3.5597038595764792</v>
      </c>
      <c r="S25" s="62">
        <v>5.1760270566193141</v>
      </c>
      <c r="T25" s="62">
        <v>6.4685487393342616</v>
      </c>
      <c r="U25" s="62">
        <v>33.635931427888771</v>
      </c>
      <c r="V25" s="62">
        <v>13.312201694626173</v>
      </c>
      <c r="W25" s="62">
        <v>5.3634597071115557</v>
      </c>
      <c r="X25" s="62">
        <v>6.2986209500845547</v>
      </c>
      <c r="Y25" s="62">
        <v>8.8455272165657028</v>
      </c>
    </row>
    <row r="26" spans="1:25" s="19" customFormat="1" ht="14.45" customHeight="1" x14ac:dyDescent="0.25">
      <c r="A26" s="37"/>
      <c r="B26" s="38" t="s">
        <v>51</v>
      </c>
      <c r="C26" s="35"/>
      <c r="D26" s="61">
        <v>27.836596940545054</v>
      </c>
      <c r="E26" s="62">
        <v>29.202943720458101</v>
      </c>
      <c r="F26" s="62">
        <v>14.711346489539261</v>
      </c>
      <c r="G26" s="62">
        <v>5.83816509120898</v>
      </c>
      <c r="H26" s="62">
        <v>3.0062149308118618</v>
      </c>
      <c r="I26" s="62">
        <v>10.176014390622344</v>
      </c>
      <c r="J26" s="62">
        <v>15.134264655674643</v>
      </c>
      <c r="K26" s="62">
        <v>11.896489072790786</v>
      </c>
      <c r="L26" s="62">
        <v>0.99460099471243202</v>
      </c>
      <c r="M26" s="62">
        <v>1.5123113402017554</v>
      </c>
      <c r="N26" s="62">
        <v>0.94454802098199597</v>
      </c>
      <c r="O26" s="62">
        <v>1.4150264201123339</v>
      </c>
      <c r="P26" s="62">
        <v>0.72868833756756479</v>
      </c>
      <c r="Q26" s="62">
        <v>3.8156459392197775</v>
      </c>
      <c r="R26" s="62">
        <v>2.0170279011208119</v>
      </c>
      <c r="S26" s="62">
        <v>1.0476612950828128</v>
      </c>
      <c r="T26" s="62">
        <v>3.9667872850880945</v>
      </c>
      <c r="U26" s="62">
        <v>39.875010062632931</v>
      </c>
      <c r="V26" s="62">
        <v>5.8188094675546509</v>
      </c>
      <c r="W26" s="62">
        <v>3.5652384841812865</v>
      </c>
      <c r="X26" s="62">
        <v>4.798609606786262</v>
      </c>
      <c r="Y26" s="62">
        <v>3.7735221494209394</v>
      </c>
    </row>
    <row r="27" spans="1:25" s="19" customFormat="1" ht="14.45" customHeight="1" x14ac:dyDescent="0.25">
      <c r="A27" s="37"/>
      <c r="B27" s="38" t="s">
        <v>52</v>
      </c>
      <c r="C27" s="35"/>
      <c r="D27" s="61">
        <v>30.329078273807678</v>
      </c>
      <c r="E27" s="62">
        <v>39.206895770053819</v>
      </c>
      <c r="F27" s="62">
        <v>13.895004042439419</v>
      </c>
      <c r="G27" s="62">
        <v>8.2435906261150524</v>
      </c>
      <c r="H27" s="62">
        <v>3.3401887364313803</v>
      </c>
      <c r="I27" s="62">
        <v>14.341319566050307</v>
      </c>
      <c r="J27" s="62">
        <v>6.7580251552475987</v>
      </c>
      <c r="K27" s="62">
        <v>3.013268259030021</v>
      </c>
      <c r="L27" s="62">
        <v>4.0229878441315332</v>
      </c>
      <c r="M27" s="62">
        <v>2.4726239528024641</v>
      </c>
      <c r="N27" s="62">
        <v>3.4193572313572278</v>
      </c>
      <c r="O27" s="62">
        <v>3.5715373164054753</v>
      </c>
      <c r="P27" s="62">
        <v>2.5871634145151994</v>
      </c>
      <c r="Q27" s="62">
        <v>3.6728253253486987</v>
      </c>
      <c r="R27" s="62">
        <v>8.434286320450143</v>
      </c>
      <c r="S27" s="62">
        <v>8.3380853400462467</v>
      </c>
      <c r="T27" s="62">
        <v>4.5608369429814761</v>
      </c>
      <c r="U27" s="62">
        <v>32.097818594071377</v>
      </c>
      <c r="V27" s="62">
        <v>3.6337504933185047</v>
      </c>
      <c r="W27" s="62">
        <v>5.1195265867747226</v>
      </c>
      <c r="X27" s="62">
        <v>3.9233611621263713</v>
      </c>
      <c r="Y27" s="62">
        <v>16.64030370813704</v>
      </c>
    </row>
    <row r="28" spans="1:25" s="19" customFormat="1" ht="14.45" customHeight="1" x14ac:dyDescent="0.25">
      <c r="A28" s="37"/>
      <c r="B28" s="38" t="s">
        <v>4</v>
      </c>
      <c r="C28" s="35"/>
      <c r="D28" s="61">
        <v>38.00342032964209</v>
      </c>
      <c r="E28" s="62">
        <v>44.762763501772874</v>
      </c>
      <c r="F28" s="62">
        <v>14.090417097391841</v>
      </c>
      <c r="G28" s="62">
        <v>3.6343663804090509</v>
      </c>
      <c r="H28" s="62">
        <v>11.823460139248892</v>
      </c>
      <c r="I28" s="62">
        <v>8.1463495943027429</v>
      </c>
      <c r="J28" s="62">
        <v>3.8489697829498173</v>
      </c>
      <c r="K28" s="62">
        <v>4.2285070758792243</v>
      </c>
      <c r="L28" s="62">
        <v>11.691054663055453</v>
      </c>
      <c r="M28" s="62">
        <v>1.1623762024120519</v>
      </c>
      <c r="N28" s="62">
        <v>1.2615274325899331</v>
      </c>
      <c r="O28" s="62">
        <v>0.89517140494760394</v>
      </c>
      <c r="P28" s="62">
        <v>0</v>
      </c>
      <c r="Q28" s="62">
        <v>2.6358710257791986</v>
      </c>
      <c r="R28" s="62">
        <v>6.710042668184184</v>
      </c>
      <c r="S28" s="62">
        <v>0.7287902781744573</v>
      </c>
      <c r="T28" s="62">
        <v>2.1340526460998364</v>
      </c>
      <c r="U28" s="62">
        <v>31.655602123970535</v>
      </c>
      <c r="V28" s="62">
        <v>4.0774715878687138</v>
      </c>
      <c r="W28" s="62">
        <v>1.0212933417767811</v>
      </c>
      <c r="X28" s="62">
        <v>0.93092733271146733</v>
      </c>
      <c r="Y28" s="62">
        <v>0</v>
      </c>
    </row>
    <row r="29" spans="1:25" s="19" customFormat="1" ht="14.45" customHeight="1" x14ac:dyDescent="0.25">
      <c r="A29" s="37"/>
      <c r="B29" s="38" t="s">
        <v>117</v>
      </c>
      <c r="C29" s="35"/>
      <c r="D29" s="61">
        <v>0</v>
      </c>
      <c r="E29" s="62">
        <v>0</v>
      </c>
      <c r="F29" s="62">
        <v>0</v>
      </c>
      <c r="G29" s="62">
        <v>28.201568398024129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15.985881657422876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40.643706476842347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</row>
    <row r="30" spans="1:25" s="19" customFormat="1" ht="14.45" customHeight="1" x14ac:dyDescent="0.25">
      <c r="A30" s="37" t="s">
        <v>53</v>
      </c>
      <c r="B30" s="38"/>
      <c r="C30" s="35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s="19" customFormat="1" ht="14.45" customHeight="1" x14ac:dyDescent="0.25">
      <c r="A31" s="37"/>
      <c r="B31" s="38" t="s">
        <v>54</v>
      </c>
      <c r="C31" s="35"/>
      <c r="D31" s="61">
        <v>32.461835599377437</v>
      </c>
      <c r="E31" s="62">
        <v>0</v>
      </c>
      <c r="F31" s="62">
        <v>0</v>
      </c>
      <c r="G31" s="62">
        <v>0</v>
      </c>
      <c r="H31" s="62">
        <v>0</v>
      </c>
      <c r="I31" s="62">
        <v>2.1941197012973284</v>
      </c>
      <c r="J31" s="62">
        <v>1.9464632857293644</v>
      </c>
      <c r="K31" s="62">
        <v>0</v>
      </c>
      <c r="L31" s="62">
        <v>0</v>
      </c>
      <c r="M31" s="62">
        <v>0</v>
      </c>
      <c r="N31" s="62">
        <v>0.49686256754392683</v>
      </c>
      <c r="O31" s="62">
        <v>0.60408830877470177</v>
      </c>
      <c r="P31" s="62">
        <v>0</v>
      </c>
      <c r="Q31" s="62">
        <v>0</v>
      </c>
      <c r="R31" s="62">
        <v>1.6794951392498088</v>
      </c>
      <c r="S31" s="62">
        <v>0.29640509653679747</v>
      </c>
      <c r="T31" s="62">
        <v>3.5999301718040164</v>
      </c>
      <c r="U31" s="62">
        <v>0</v>
      </c>
      <c r="V31" s="62">
        <v>0</v>
      </c>
      <c r="W31" s="62">
        <v>17.666071545519578</v>
      </c>
      <c r="X31" s="62">
        <v>0</v>
      </c>
      <c r="Y31" s="62">
        <v>0</v>
      </c>
    </row>
    <row r="32" spans="1:25" s="19" customFormat="1" ht="14.45" customHeight="1" x14ac:dyDescent="0.25">
      <c r="A32" s="37"/>
      <c r="B32" s="38" t="s">
        <v>55</v>
      </c>
      <c r="C32" s="35"/>
      <c r="D32" s="61">
        <v>13.993909185429557</v>
      </c>
      <c r="E32" s="62">
        <v>29.099122899407156</v>
      </c>
      <c r="F32" s="62">
        <v>7.5795522492751184</v>
      </c>
      <c r="G32" s="62">
        <v>7.7112551250603882</v>
      </c>
      <c r="H32" s="62">
        <v>2.5453691648803067</v>
      </c>
      <c r="I32" s="62">
        <v>5.4215157142542303</v>
      </c>
      <c r="J32" s="62">
        <v>5.3463147264799078</v>
      </c>
      <c r="K32" s="62">
        <v>2.2271836302759245</v>
      </c>
      <c r="L32" s="62">
        <v>5.9307647711056291</v>
      </c>
      <c r="M32" s="62">
        <v>0.56882549424578022</v>
      </c>
      <c r="N32" s="62">
        <v>0.64645260823387729</v>
      </c>
      <c r="O32" s="62">
        <v>2.0971742014322303</v>
      </c>
      <c r="P32" s="62">
        <v>14.809343531350926</v>
      </c>
      <c r="Q32" s="62">
        <v>1.5750152867441909</v>
      </c>
      <c r="R32" s="62">
        <v>10.002737247751075</v>
      </c>
      <c r="S32" s="62">
        <v>9.4385346999138875</v>
      </c>
      <c r="T32" s="62">
        <v>3.0075925728628676</v>
      </c>
      <c r="U32" s="62">
        <v>27.538566198816728</v>
      </c>
      <c r="V32" s="62">
        <v>3.5711431443832611</v>
      </c>
      <c r="W32" s="62">
        <v>1.6552303474298857</v>
      </c>
      <c r="X32" s="62">
        <v>2.6075077685164842</v>
      </c>
      <c r="Y32" s="62">
        <v>2.7373702604374208</v>
      </c>
    </row>
    <row r="33" spans="1:25" s="19" customFormat="1" ht="14.45" customHeight="1" x14ac:dyDescent="0.25">
      <c r="A33" s="37"/>
      <c r="B33" s="38" t="s">
        <v>211</v>
      </c>
      <c r="C33" s="35"/>
      <c r="D33" s="61">
        <v>20.164732819336628</v>
      </c>
      <c r="E33" s="62">
        <v>29.764633082691823</v>
      </c>
      <c r="F33" s="62">
        <v>12.522346664231675</v>
      </c>
      <c r="G33" s="62">
        <v>1.3362122864261463</v>
      </c>
      <c r="H33" s="62">
        <v>1.3623505476050499</v>
      </c>
      <c r="I33" s="62">
        <v>0.87150099964214378</v>
      </c>
      <c r="J33" s="62">
        <v>3.3292426832891926</v>
      </c>
      <c r="K33" s="62">
        <v>7.5941169525351002</v>
      </c>
      <c r="L33" s="62">
        <v>1.3008750861652707</v>
      </c>
      <c r="M33" s="62">
        <v>0</v>
      </c>
      <c r="N33" s="62">
        <v>0.70576192629953449</v>
      </c>
      <c r="O33" s="62">
        <v>1.2407417065413717</v>
      </c>
      <c r="P33" s="62">
        <v>1.0006995830488383</v>
      </c>
      <c r="Q33" s="62">
        <v>4.9831013539042726</v>
      </c>
      <c r="R33" s="62">
        <v>5.9283974141886659</v>
      </c>
      <c r="S33" s="62">
        <v>7.1893670839303789</v>
      </c>
      <c r="T33" s="62">
        <v>4.1645983818295838</v>
      </c>
      <c r="U33" s="62">
        <v>44.977497996705502</v>
      </c>
      <c r="V33" s="62">
        <v>2.9890500929936819</v>
      </c>
      <c r="W33" s="62">
        <v>0.45792026664717106</v>
      </c>
      <c r="X33" s="62">
        <v>3.1618081169096079</v>
      </c>
      <c r="Y33" s="62">
        <v>0</v>
      </c>
    </row>
    <row r="34" spans="1:25" s="19" customFormat="1" ht="14.45" customHeight="1" x14ac:dyDescent="0.25">
      <c r="A34" s="37"/>
      <c r="B34" s="38" t="s">
        <v>212</v>
      </c>
      <c r="C34" s="35"/>
      <c r="D34" s="61">
        <v>13.563119041438993</v>
      </c>
      <c r="E34" s="62">
        <v>26.044577528887505</v>
      </c>
      <c r="F34" s="62">
        <v>0</v>
      </c>
      <c r="G34" s="62">
        <v>6.5086476392915209</v>
      </c>
      <c r="H34" s="62">
        <v>5.4699303636587802</v>
      </c>
      <c r="I34" s="62">
        <v>4.2107032367306401</v>
      </c>
      <c r="J34" s="62">
        <v>0.62813093489504668</v>
      </c>
      <c r="K34" s="62">
        <v>3.5875197821295419</v>
      </c>
      <c r="L34" s="62">
        <v>9.4610351372632149</v>
      </c>
      <c r="M34" s="62">
        <v>3.9753237356440065</v>
      </c>
      <c r="N34" s="62">
        <v>4.1486707984591389</v>
      </c>
      <c r="O34" s="62">
        <v>0</v>
      </c>
      <c r="P34" s="62">
        <v>9.8467277588117916</v>
      </c>
      <c r="Q34" s="62">
        <v>0</v>
      </c>
      <c r="R34" s="62">
        <v>1.1656969869437963</v>
      </c>
      <c r="S34" s="62">
        <v>0</v>
      </c>
      <c r="T34" s="62">
        <v>8.5653150579861883</v>
      </c>
      <c r="U34" s="62">
        <v>14.880036114553228</v>
      </c>
      <c r="V34" s="62">
        <v>8.2140089627533293</v>
      </c>
      <c r="W34" s="62">
        <v>18.411219955947168</v>
      </c>
      <c r="X34" s="62">
        <v>0.48156881169164339</v>
      </c>
      <c r="Y34" s="62">
        <v>0</v>
      </c>
    </row>
    <row r="35" spans="1:25" s="19" customFormat="1" ht="14.45" customHeight="1" x14ac:dyDescent="0.25">
      <c r="A35" s="37"/>
      <c r="B35" s="38" t="s">
        <v>56</v>
      </c>
      <c r="C35" s="35"/>
      <c r="D35" s="61">
        <v>33.044491082745445</v>
      </c>
      <c r="E35" s="62">
        <v>38.712164056294313</v>
      </c>
      <c r="F35" s="62">
        <v>13.002895448571328</v>
      </c>
      <c r="G35" s="62">
        <v>5.8600348384035819</v>
      </c>
      <c r="H35" s="62">
        <v>6.8586443292994561</v>
      </c>
      <c r="I35" s="62">
        <v>11.465266159280256</v>
      </c>
      <c r="J35" s="62">
        <v>6.6090319842790652</v>
      </c>
      <c r="K35" s="62">
        <v>4.1938366293733109</v>
      </c>
      <c r="L35" s="62">
        <v>2.6780838473176436</v>
      </c>
      <c r="M35" s="62">
        <v>2.1544683721935676</v>
      </c>
      <c r="N35" s="62">
        <v>2.476058912609862</v>
      </c>
      <c r="O35" s="62">
        <v>4.5336038956132398</v>
      </c>
      <c r="P35" s="62">
        <v>1.403870457283368</v>
      </c>
      <c r="Q35" s="62">
        <v>2.8681339288583692</v>
      </c>
      <c r="R35" s="62">
        <v>3.4395736233651641</v>
      </c>
      <c r="S35" s="62">
        <v>4.2781225783942567</v>
      </c>
      <c r="T35" s="62">
        <v>5.08397778158007</v>
      </c>
      <c r="U35" s="62">
        <v>20.962774772631448</v>
      </c>
      <c r="V35" s="62">
        <v>2.8577337634809838</v>
      </c>
      <c r="W35" s="62">
        <v>0.63096427175797776</v>
      </c>
      <c r="X35" s="62">
        <v>5.2032132489431637</v>
      </c>
      <c r="Y35" s="62">
        <v>1.712491071189169</v>
      </c>
    </row>
    <row r="36" spans="1:25" s="19" customFormat="1" ht="14.45" customHeight="1" x14ac:dyDescent="0.25">
      <c r="A36" s="37"/>
      <c r="B36" s="38" t="s">
        <v>57</v>
      </c>
      <c r="C36" s="35"/>
      <c r="D36" s="61">
        <v>27.940772560460125</v>
      </c>
      <c r="E36" s="62">
        <v>41.815336650731744</v>
      </c>
      <c r="F36" s="62">
        <v>22.05625048986596</v>
      </c>
      <c r="G36" s="62">
        <v>7.9015979763782882</v>
      </c>
      <c r="H36" s="62">
        <v>1.7986154452264544</v>
      </c>
      <c r="I36" s="62">
        <v>9.2426710340457667</v>
      </c>
      <c r="J36" s="62">
        <v>5.6968912765905459</v>
      </c>
      <c r="K36" s="62">
        <v>8.6291663463240447</v>
      </c>
      <c r="L36" s="62">
        <v>11.678257516553224</v>
      </c>
      <c r="M36" s="62">
        <v>0.71592581935206356</v>
      </c>
      <c r="N36" s="62">
        <v>1.0815566267789429</v>
      </c>
      <c r="O36" s="62">
        <v>1.0399582642286456</v>
      </c>
      <c r="P36" s="62">
        <v>0</v>
      </c>
      <c r="Q36" s="62">
        <v>2.0659177120112724</v>
      </c>
      <c r="R36" s="62">
        <v>12.762828629625986</v>
      </c>
      <c r="S36" s="62">
        <v>1.2749310250172881</v>
      </c>
      <c r="T36" s="62">
        <v>1.1129065879336228</v>
      </c>
      <c r="U36" s="62">
        <v>13.366846030578136</v>
      </c>
      <c r="V36" s="62">
        <v>13.391462110919511</v>
      </c>
      <c r="W36" s="62">
        <v>1.3859927833292729</v>
      </c>
      <c r="X36" s="62">
        <v>0.96005177087835258</v>
      </c>
      <c r="Y36" s="62">
        <v>13.542007959531643</v>
      </c>
    </row>
    <row r="37" spans="1:25" s="19" customFormat="1" ht="14.45" customHeight="1" x14ac:dyDescent="0.25">
      <c r="A37" s="37"/>
      <c r="B37" s="38" t="s">
        <v>204</v>
      </c>
      <c r="C37" s="35"/>
      <c r="D37" s="61">
        <v>21.909021486022549</v>
      </c>
      <c r="E37" s="62">
        <v>81.356459253029627</v>
      </c>
      <c r="F37" s="62">
        <v>40.452950547451096</v>
      </c>
      <c r="G37" s="62">
        <v>12.965300965385016</v>
      </c>
      <c r="H37" s="62">
        <v>16.049252006981607</v>
      </c>
      <c r="I37" s="62">
        <v>2.0379989414695596</v>
      </c>
      <c r="J37" s="62">
        <v>9.7763946217423445</v>
      </c>
      <c r="K37" s="62">
        <v>16.901126261452013</v>
      </c>
      <c r="L37" s="62">
        <v>50</v>
      </c>
      <c r="M37" s="62">
        <v>25.73145045540705</v>
      </c>
      <c r="N37" s="62">
        <v>0</v>
      </c>
      <c r="O37" s="62">
        <v>0</v>
      </c>
      <c r="P37" s="62">
        <v>7.6857173150595841</v>
      </c>
      <c r="Q37" s="62">
        <v>0</v>
      </c>
      <c r="R37" s="62">
        <v>0</v>
      </c>
      <c r="S37" s="62">
        <v>0</v>
      </c>
      <c r="T37" s="62">
        <v>7.4595524346260023</v>
      </c>
      <c r="U37" s="62">
        <v>18.106512820891414</v>
      </c>
      <c r="V37" s="62">
        <v>50</v>
      </c>
      <c r="W37" s="62">
        <v>59.374070247025116</v>
      </c>
      <c r="X37" s="62">
        <v>0</v>
      </c>
      <c r="Y37" s="62">
        <v>0</v>
      </c>
    </row>
    <row r="38" spans="1:25" s="19" customFormat="1" ht="14.45" customHeight="1" x14ac:dyDescent="0.25">
      <c r="A38" s="37"/>
      <c r="B38" s="38" t="s">
        <v>58</v>
      </c>
      <c r="C38" s="35"/>
      <c r="D38" s="61">
        <v>35.290229865494446</v>
      </c>
      <c r="E38" s="62">
        <v>44.953844619531665</v>
      </c>
      <c r="F38" s="62">
        <v>9.0295778918151939</v>
      </c>
      <c r="G38" s="62">
        <v>6.7026451691294566</v>
      </c>
      <c r="H38" s="62">
        <v>4.9296872151534528</v>
      </c>
      <c r="I38" s="62">
        <v>2.2137333348356556</v>
      </c>
      <c r="J38" s="62">
        <v>22.649112822188084</v>
      </c>
      <c r="K38" s="62">
        <v>2.7923271612209191</v>
      </c>
      <c r="L38" s="62">
        <v>2.9454539046347956</v>
      </c>
      <c r="M38" s="62">
        <v>5.1906636905137757</v>
      </c>
      <c r="N38" s="62">
        <v>2.9159599400795524</v>
      </c>
      <c r="O38" s="62">
        <v>5.7750278085729487</v>
      </c>
      <c r="P38" s="62">
        <v>1.1426436885342086</v>
      </c>
      <c r="Q38" s="62">
        <v>3.2246939866118383</v>
      </c>
      <c r="R38" s="62">
        <v>5.6962128276582469</v>
      </c>
      <c r="S38" s="62">
        <v>9.3713539475652787</v>
      </c>
      <c r="T38" s="62">
        <v>8.4545480681196299</v>
      </c>
      <c r="U38" s="62">
        <v>51.518953816716618</v>
      </c>
      <c r="V38" s="62">
        <v>12.654289869094285</v>
      </c>
      <c r="W38" s="62">
        <v>5.6382186218688526</v>
      </c>
      <c r="X38" s="62">
        <v>15.27044520956346</v>
      </c>
      <c r="Y38" s="62">
        <v>0</v>
      </c>
    </row>
    <row r="39" spans="1:25" s="19" customFormat="1" ht="14.45" customHeight="1" x14ac:dyDescent="0.25">
      <c r="A39" s="37"/>
      <c r="B39" s="38" t="s">
        <v>59</v>
      </c>
      <c r="C39" s="35"/>
      <c r="D39" s="61">
        <v>35.936566328182707</v>
      </c>
      <c r="E39" s="62">
        <v>37.01966899665026</v>
      </c>
      <c r="F39" s="62">
        <v>11.365780531284935</v>
      </c>
      <c r="G39" s="62">
        <v>16.395239722392514</v>
      </c>
      <c r="H39" s="62">
        <v>2.7218731051483642</v>
      </c>
      <c r="I39" s="62">
        <v>14.362378237389388</v>
      </c>
      <c r="J39" s="62">
        <v>2.7096368568305849</v>
      </c>
      <c r="K39" s="62">
        <v>6.6543512114121564</v>
      </c>
      <c r="L39" s="62">
        <v>6.7001042490609741</v>
      </c>
      <c r="M39" s="62">
        <v>3.7879057314358744</v>
      </c>
      <c r="N39" s="62">
        <v>3.3568133164584708</v>
      </c>
      <c r="O39" s="62">
        <v>1.4489541680695894</v>
      </c>
      <c r="P39" s="62">
        <v>0.85071582763970155</v>
      </c>
      <c r="Q39" s="62">
        <v>2.8273165623606</v>
      </c>
      <c r="R39" s="62">
        <v>3.2361208968143291</v>
      </c>
      <c r="S39" s="62">
        <v>3.1383592659410793</v>
      </c>
      <c r="T39" s="62">
        <v>6.7892600863131207</v>
      </c>
      <c r="U39" s="62">
        <v>50.887686001393078</v>
      </c>
      <c r="V39" s="62">
        <v>8.2050620102308027</v>
      </c>
      <c r="W39" s="62">
        <v>3.1819638112635067</v>
      </c>
      <c r="X39" s="62">
        <v>9.541137142108429</v>
      </c>
      <c r="Y39" s="62">
        <v>5.8043935106645144</v>
      </c>
    </row>
    <row r="40" spans="1:25" s="19" customFormat="1" ht="14.45" customHeight="1" x14ac:dyDescent="0.25">
      <c r="A40" s="37"/>
      <c r="B40" s="38" t="s">
        <v>61</v>
      </c>
      <c r="C40" s="35"/>
      <c r="D40" s="61">
        <v>52.986800256504324</v>
      </c>
      <c r="E40" s="62">
        <v>58.508881375391361</v>
      </c>
      <c r="F40" s="62">
        <v>41.721557434351183</v>
      </c>
      <c r="G40" s="62">
        <v>32.346687061586017</v>
      </c>
      <c r="H40" s="62">
        <v>18.23768424672738</v>
      </c>
      <c r="I40" s="62">
        <v>38.968899554781977</v>
      </c>
      <c r="J40" s="62">
        <v>30.896608062378242</v>
      </c>
      <c r="K40" s="62">
        <v>37.654616630755271</v>
      </c>
      <c r="L40" s="62">
        <v>39.366391954370997</v>
      </c>
      <c r="M40" s="62">
        <v>33.115805566281942</v>
      </c>
      <c r="N40" s="62">
        <v>36.473805685577581</v>
      </c>
      <c r="O40" s="62">
        <v>22.652501156267974</v>
      </c>
      <c r="P40" s="62">
        <v>12.654107284472222</v>
      </c>
      <c r="Q40" s="62">
        <v>28.257259360058494</v>
      </c>
      <c r="R40" s="62">
        <v>17.340415534642791</v>
      </c>
      <c r="S40" s="62">
        <v>5.8272235062953008</v>
      </c>
      <c r="T40" s="62">
        <v>34.847896250568404</v>
      </c>
      <c r="U40" s="62">
        <v>59.334872956883252</v>
      </c>
      <c r="V40" s="62">
        <v>24.674512288247978</v>
      </c>
      <c r="W40" s="62">
        <v>18.80343721144331</v>
      </c>
      <c r="X40" s="62">
        <v>14.510600560522942</v>
      </c>
      <c r="Y40" s="62">
        <v>56.394847089799853</v>
      </c>
    </row>
    <row r="41" spans="1:25" s="19" customFormat="1" ht="14.45" customHeight="1" x14ac:dyDescent="0.25">
      <c r="A41" s="37"/>
      <c r="B41" s="38" t="s">
        <v>60</v>
      </c>
      <c r="C41" s="35"/>
      <c r="D41" s="61">
        <v>25.382550571936751</v>
      </c>
      <c r="E41" s="62">
        <v>33.823796792421774</v>
      </c>
      <c r="F41" s="62">
        <v>17.537433002944461</v>
      </c>
      <c r="G41" s="62">
        <v>2.2002149170524241</v>
      </c>
      <c r="H41" s="62">
        <v>4.3108955875749224</v>
      </c>
      <c r="I41" s="62">
        <v>0</v>
      </c>
      <c r="J41" s="62">
        <v>6.789402354097227</v>
      </c>
      <c r="K41" s="62">
        <v>3.9129041873518227</v>
      </c>
      <c r="L41" s="62">
        <v>5.8613055389512647</v>
      </c>
      <c r="M41" s="62">
        <v>7.5692866343077645</v>
      </c>
      <c r="N41" s="62">
        <v>7.2305940259815227</v>
      </c>
      <c r="O41" s="62">
        <v>0.9655628942577642</v>
      </c>
      <c r="P41" s="62">
        <v>0</v>
      </c>
      <c r="Q41" s="62">
        <v>7.0717160619208546</v>
      </c>
      <c r="R41" s="62">
        <v>0.44810318693474288</v>
      </c>
      <c r="S41" s="62">
        <v>12.359843883212987</v>
      </c>
      <c r="T41" s="62">
        <v>12.595561375927689</v>
      </c>
      <c r="U41" s="62">
        <v>62.220087507839267</v>
      </c>
      <c r="V41" s="62">
        <v>0</v>
      </c>
      <c r="W41" s="62">
        <v>0</v>
      </c>
      <c r="X41" s="62">
        <v>11.771675544498498</v>
      </c>
      <c r="Y41" s="62">
        <v>0</v>
      </c>
    </row>
    <row r="42" spans="1:25" s="19" customFormat="1" ht="14.45" customHeight="1" x14ac:dyDescent="0.25">
      <c r="A42" s="37"/>
      <c r="B42" s="38" t="s">
        <v>117</v>
      </c>
      <c r="C42" s="35"/>
      <c r="D42" s="61">
        <v>0</v>
      </c>
      <c r="E42" s="62">
        <v>0</v>
      </c>
      <c r="F42" s="62">
        <v>0</v>
      </c>
      <c r="G42" s="62">
        <v>44.758605078658583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80.588682251911891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14.220268811733206</v>
      </c>
      <c r="W42" s="62">
        <v>0</v>
      </c>
      <c r="X42" s="62">
        <v>0</v>
      </c>
      <c r="Y42" s="62">
        <v>0</v>
      </c>
    </row>
    <row r="43" spans="1:25" s="19" customFormat="1" ht="4.3499999999999996" customHeight="1" x14ac:dyDescent="0.25">
      <c r="A43" s="39"/>
      <c r="B43" s="40"/>
      <c r="C43" s="41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s="19" customFormat="1" ht="15.95" customHeight="1" x14ac:dyDescent="0.25">
      <c r="A44" s="37" t="s">
        <v>5</v>
      </c>
      <c r="B44" s="38"/>
      <c r="C44" s="35"/>
      <c r="D44" s="61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s="19" customFormat="1" ht="15.95" customHeight="1" x14ac:dyDescent="0.25">
      <c r="A45" s="37"/>
      <c r="B45" s="38" t="s">
        <v>6</v>
      </c>
      <c r="C45" s="35"/>
      <c r="D45" s="61">
        <v>27.849402199183825</v>
      </c>
      <c r="E45" s="62">
        <v>36.42061405143189</v>
      </c>
      <c r="F45" s="62">
        <v>11.785341998406215</v>
      </c>
      <c r="G45" s="62">
        <v>3.7089825754508552</v>
      </c>
      <c r="H45" s="62">
        <v>1.3996694442834305</v>
      </c>
      <c r="I45" s="62">
        <v>9.1906172292646922</v>
      </c>
      <c r="J45" s="62">
        <v>5.0569784441188839</v>
      </c>
      <c r="K45" s="62">
        <v>4.1130611242411783</v>
      </c>
      <c r="L45" s="62">
        <v>3.4795286179250393</v>
      </c>
      <c r="M45" s="62">
        <v>1.4673253479473312</v>
      </c>
      <c r="N45" s="62">
        <v>1.0561521531459457</v>
      </c>
      <c r="O45" s="62">
        <v>2.8742165910655491</v>
      </c>
      <c r="P45" s="62">
        <v>0.94841744066756672</v>
      </c>
      <c r="Q45" s="62">
        <v>1.7520179086304575</v>
      </c>
      <c r="R45" s="62">
        <v>5.2733528410559298</v>
      </c>
      <c r="S45" s="62">
        <v>2.5857305974099107</v>
      </c>
      <c r="T45" s="62">
        <v>3.6242254209628473</v>
      </c>
      <c r="U45" s="62">
        <v>26.556868486915683</v>
      </c>
      <c r="V45" s="62">
        <v>2.1466248968612631</v>
      </c>
      <c r="W45" s="62">
        <v>1.977794190419899</v>
      </c>
      <c r="X45" s="62">
        <v>2.118484440605692</v>
      </c>
      <c r="Y45" s="62">
        <v>2.6650295798428032</v>
      </c>
    </row>
    <row r="46" spans="1:25" s="19" customFormat="1" ht="15.95" customHeight="1" x14ac:dyDescent="0.25">
      <c r="A46" s="37"/>
      <c r="B46" s="38" t="s">
        <v>7</v>
      </c>
      <c r="C46" s="35"/>
      <c r="D46" s="61">
        <v>52.856932930244724</v>
      </c>
      <c r="E46" s="62">
        <v>58.688037235875392</v>
      </c>
      <c r="F46" s="62">
        <v>45.527296543409719</v>
      </c>
      <c r="G46" s="62">
        <v>31.209906676779287</v>
      </c>
      <c r="H46" s="62">
        <v>19.674362877344912</v>
      </c>
      <c r="I46" s="62">
        <v>23.642355909310247</v>
      </c>
      <c r="J46" s="62">
        <v>32.646261517070037</v>
      </c>
      <c r="K46" s="62">
        <v>29.112855431062826</v>
      </c>
      <c r="L46" s="62">
        <v>38.463530328486833</v>
      </c>
      <c r="M46" s="62">
        <v>31.044465158749567</v>
      </c>
      <c r="N46" s="62">
        <v>37.128198088412894</v>
      </c>
      <c r="O46" s="62">
        <v>27.900812186121968</v>
      </c>
      <c r="P46" s="62">
        <v>16.945343880036805</v>
      </c>
      <c r="Q46" s="62">
        <v>31.720785492910608</v>
      </c>
      <c r="R46" s="62">
        <v>18.284435727789862</v>
      </c>
      <c r="S46" s="62">
        <v>5.3332946222317332</v>
      </c>
      <c r="T46" s="62">
        <v>24.096568121767827</v>
      </c>
      <c r="U46" s="62">
        <v>59.774321543647169</v>
      </c>
      <c r="V46" s="62">
        <v>21.325352548227141</v>
      </c>
      <c r="W46" s="62">
        <v>29.965556805972145</v>
      </c>
      <c r="X46" s="62">
        <v>21.335023646883421</v>
      </c>
      <c r="Y46" s="62">
        <v>56.394847089799853</v>
      </c>
    </row>
    <row r="47" spans="1:25" s="19" customFormat="1" ht="15.95" customHeight="1" x14ac:dyDescent="0.25">
      <c r="A47" s="37"/>
      <c r="B47" s="38" t="s">
        <v>122</v>
      </c>
      <c r="C47" s="35"/>
      <c r="D47" s="61">
        <v>8.2396529107740033</v>
      </c>
      <c r="E47" s="62">
        <v>34.577165398867059</v>
      </c>
      <c r="F47" s="62">
        <v>1.3980885072198157</v>
      </c>
      <c r="G47" s="62">
        <v>1.4035679426602354</v>
      </c>
      <c r="H47" s="62">
        <v>33.662888134506176</v>
      </c>
      <c r="I47" s="62">
        <v>24.311453791953191</v>
      </c>
      <c r="J47" s="62">
        <v>0</v>
      </c>
      <c r="K47" s="62">
        <v>0.67625913183078523</v>
      </c>
      <c r="L47" s="62">
        <v>0.73979885004029744</v>
      </c>
      <c r="M47" s="62">
        <v>0</v>
      </c>
      <c r="N47" s="62">
        <v>4.6925271978287375</v>
      </c>
      <c r="O47" s="62">
        <v>0</v>
      </c>
      <c r="P47" s="62">
        <v>3.354389961940162</v>
      </c>
      <c r="Q47" s="62">
        <v>5.9820617956072333</v>
      </c>
      <c r="R47" s="62">
        <v>10.837635456311899</v>
      </c>
      <c r="S47" s="62">
        <v>28.253257767016191</v>
      </c>
      <c r="T47" s="62">
        <v>5.6479371598571371</v>
      </c>
      <c r="U47" s="62">
        <v>11.364043209017652</v>
      </c>
      <c r="V47" s="62">
        <v>3.8271128639294014</v>
      </c>
      <c r="W47" s="62">
        <v>8.5408953492643658</v>
      </c>
      <c r="X47" s="62">
        <v>0.20233822951758876</v>
      </c>
      <c r="Y47" s="62">
        <v>2.2995645675448064</v>
      </c>
    </row>
    <row r="48" spans="1:25" s="19" customFormat="1" ht="15.95" customHeight="1" x14ac:dyDescent="0.25">
      <c r="A48" s="37"/>
      <c r="B48" s="38" t="s">
        <v>8</v>
      </c>
      <c r="C48" s="35"/>
      <c r="D48" s="61">
        <v>17.608024200633537</v>
      </c>
      <c r="E48" s="62">
        <v>24.672819820532602</v>
      </c>
      <c r="F48" s="62">
        <v>3.038521800116047</v>
      </c>
      <c r="G48" s="62">
        <v>2.9738230587567425</v>
      </c>
      <c r="H48" s="62">
        <v>0.61867388589640293</v>
      </c>
      <c r="I48" s="62">
        <v>4.036158213665872</v>
      </c>
      <c r="J48" s="62">
        <v>10.114062817407536</v>
      </c>
      <c r="K48" s="62">
        <v>1.9786651594870559</v>
      </c>
      <c r="L48" s="62">
        <v>0.96303711666586178</v>
      </c>
      <c r="M48" s="62">
        <v>1.1634905198458907</v>
      </c>
      <c r="N48" s="62">
        <v>1.1209867500469355</v>
      </c>
      <c r="O48" s="62">
        <v>0.59225640318575368</v>
      </c>
      <c r="P48" s="62">
        <v>0</v>
      </c>
      <c r="Q48" s="62">
        <v>0.94226056204297526</v>
      </c>
      <c r="R48" s="62">
        <v>0</v>
      </c>
      <c r="S48" s="62">
        <v>4.1650138011338553</v>
      </c>
      <c r="T48" s="62">
        <v>3.9185251891052086</v>
      </c>
      <c r="U48" s="62">
        <v>27.333658458249545</v>
      </c>
      <c r="V48" s="62">
        <v>2.0812909642883515</v>
      </c>
      <c r="W48" s="62">
        <v>0.62669069025569124</v>
      </c>
      <c r="X48" s="62">
        <v>8.6696638853127137</v>
      </c>
      <c r="Y48" s="62">
        <v>2.24917241431924</v>
      </c>
    </row>
    <row r="49" spans="1:25" s="19" customFormat="1" ht="15.95" customHeight="1" x14ac:dyDescent="0.25">
      <c r="A49" s="37"/>
      <c r="B49" s="38" t="s">
        <v>9</v>
      </c>
      <c r="C49" s="35"/>
      <c r="D49" s="61">
        <v>34.250361229561186</v>
      </c>
      <c r="E49" s="62">
        <v>42.12538412807509</v>
      </c>
      <c r="F49" s="62">
        <v>15.53324302411038</v>
      </c>
      <c r="G49" s="62">
        <v>9.1849275795699032</v>
      </c>
      <c r="H49" s="62">
        <v>5.2691107245831512</v>
      </c>
      <c r="I49" s="62">
        <v>11.422962987098723</v>
      </c>
      <c r="J49" s="62">
        <v>9.3735684586898778</v>
      </c>
      <c r="K49" s="62">
        <v>4.9952480924175218</v>
      </c>
      <c r="L49" s="62">
        <v>9.037299740280357</v>
      </c>
      <c r="M49" s="62">
        <v>4.0406953435663935</v>
      </c>
      <c r="N49" s="62">
        <v>3.5202873370918994</v>
      </c>
      <c r="O49" s="62">
        <v>2.0970135735667639</v>
      </c>
      <c r="P49" s="62">
        <v>10.008651277326388</v>
      </c>
      <c r="Q49" s="62">
        <v>2.2650399625881361</v>
      </c>
      <c r="R49" s="62">
        <v>3.8887600639164548</v>
      </c>
      <c r="S49" s="62">
        <v>5.1822784369771373</v>
      </c>
      <c r="T49" s="62">
        <v>4.7531873225928791</v>
      </c>
      <c r="U49" s="62">
        <v>42.993312638501813</v>
      </c>
      <c r="V49" s="62">
        <v>8.7783000868379464</v>
      </c>
      <c r="W49" s="62">
        <v>5.8066582640458728</v>
      </c>
      <c r="X49" s="62">
        <v>12.387368338952959</v>
      </c>
      <c r="Y49" s="62">
        <v>22.63977300097671</v>
      </c>
    </row>
    <row r="50" spans="1:25" s="19" customFormat="1" ht="15.95" customHeight="1" x14ac:dyDescent="0.25">
      <c r="A50" s="37"/>
      <c r="B50" s="38" t="s">
        <v>10</v>
      </c>
      <c r="C50" s="35"/>
      <c r="D50" s="61">
        <v>35.284524140582569</v>
      </c>
      <c r="E50" s="62">
        <v>45.558907645151244</v>
      </c>
      <c r="F50" s="62">
        <v>15.006446647375071</v>
      </c>
      <c r="G50" s="62">
        <v>29.302444550885937</v>
      </c>
      <c r="H50" s="62">
        <v>6.080363678739249</v>
      </c>
      <c r="I50" s="62">
        <v>10.24797143947584</v>
      </c>
      <c r="J50" s="62">
        <v>7.6595011850524584</v>
      </c>
      <c r="K50" s="62">
        <v>18.680952302028125</v>
      </c>
      <c r="L50" s="62">
        <v>10.938518219315963</v>
      </c>
      <c r="M50" s="62">
        <v>3.2084544582695544</v>
      </c>
      <c r="N50" s="62">
        <v>5.0404649230342926</v>
      </c>
      <c r="O50" s="62">
        <v>4.4893543184268099</v>
      </c>
      <c r="P50" s="62">
        <v>12.345168439011553</v>
      </c>
      <c r="Q50" s="62">
        <v>9.0179791066308752</v>
      </c>
      <c r="R50" s="62">
        <v>9.0521493582398538</v>
      </c>
      <c r="S50" s="62">
        <v>3.7733394345497184</v>
      </c>
      <c r="T50" s="62">
        <v>10.774232226135755</v>
      </c>
      <c r="U50" s="62">
        <v>36.808334312710826</v>
      </c>
      <c r="V50" s="62">
        <v>18.616686432678669</v>
      </c>
      <c r="W50" s="62">
        <v>4.2665801526775011</v>
      </c>
      <c r="X50" s="62">
        <v>3.4623431263327822</v>
      </c>
      <c r="Y50" s="62">
        <v>15.981319343614732</v>
      </c>
    </row>
    <row r="51" spans="1:25" s="19" customFormat="1" ht="15.95" customHeight="1" x14ac:dyDescent="0.25">
      <c r="A51" s="37" t="s">
        <v>72</v>
      </c>
      <c r="B51" s="38"/>
      <c r="C51" s="35"/>
      <c r="D51" s="61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s="19" customFormat="1" ht="15.95" customHeight="1" x14ac:dyDescent="0.25">
      <c r="A52" s="37"/>
      <c r="B52" s="38" t="s">
        <v>163</v>
      </c>
      <c r="C52" s="35"/>
      <c r="D52" s="61">
        <v>29.414248407697809</v>
      </c>
      <c r="E52" s="62">
        <v>26.32416944519148</v>
      </c>
      <c r="F52" s="62">
        <v>19.97859764407254</v>
      </c>
      <c r="G52" s="62">
        <v>27.028178155408103</v>
      </c>
      <c r="H52" s="62">
        <v>7.803792252908913</v>
      </c>
      <c r="I52" s="62">
        <v>23.675144774769301</v>
      </c>
      <c r="J52" s="62">
        <v>12.397584812916314</v>
      </c>
      <c r="K52" s="62">
        <v>11.856406981246856</v>
      </c>
      <c r="L52" s="62">
        <v>16.780579484956387</v>
      </c>
      <c r="M52" s="62">
        <v>7.275381852120181</v>
      </c>
      <c r="N52" s="62">
        <v>7.2401470803679793</v>
      </c>
      <c r="O52" s="62">
        <v>10.630909744729717</v>
      </c>
      <c r="P52" s="62">
        <v>2.2241455970185982</v>
      </c>
      <c r="Q52" s="62">
        <v>8.9039377427795809</v>
      </c>
      <c r="R52" s="62">
        <v>13.0589839220277</v>
      </c>
      <c r="S52" s="62">
        <v>2.7310090047818627</v>
      </c>
      <c r="T52" s="62">
        <v>5.9521997865982179</v>
      </c>
      <c r="U52" s="62">
        <v>45.341646622487588</v>
      </c>
      <c r="V52" s="62">
        <v>10.510856580449962</v>
      </c>
      <c r="W52" s="62">
        <v>17.699976184765493</v>
      </c>
      <c r="X52" s="62">
        <v>6.8151732758763535</v>
      </c>
      <c r="Y52" s="62">
        <v>43.641966310052091</v>
      </c>
    </row>
    <row r="53" spans="1:25" s="19" customFormat="1" ht="15.95" customHeight="1" x14ac:dyDescent="0.25">
      <c r="A53" s="37"/>
      <c r="B53" s="38" t="s">
        <v>164</v>
      </c>
      <c r="C53" s="35"/>
      <c r="D53" s="61">
        <v>24.871219095850478</v>
      </c>
      <c r="E53" s="62">
        <v>37.617953236788978</v>
      </c>
      <c r="F53" s="62">
        <v>12.707321026494679</v>
      </c>
      <c r="G53" s="62">
        <v>6.3553407579870438</v>
      </c>
      <c r="H53" s="62">
        <v>3.7360164220669274</v>
      </c>
      <c r="I53" s="62">
        <v>10.365148186534928</v>
      </c>
      <c r="J53" s="62">
        <v>5.3024572542371642</v>
      </c>
      <c r="K53" s="62">
        <v>5.7310509893583319</v>
      </c>
      <c r="L53" s="62">
        <v>5.251027560743788</v>
      </c>
      <c r="M53" s="62">
        <v>2.0986391328548808</v>
      </c>
      <c r="N53" s="62">
        <v>2.7201280709470375</v>
      </c>
      <c r="O53" s="62">
        <v>3.5027229900169408</v>
      </c>
      <c r="P53" s="62">
        <v>6.7210724526432282</v>
      </c>
      <c r="Q53" s="62">
        <v>3.3200129588332037</v>
      </c>
      <c r="R53" s="62">
        <v>3.8515339684708287</v>
      </c>
      <c r="S53" s="62">
        <v>5.1914604274713581</v>
      </c>
      <c r="T53" s="62">
        <v>4.7696718815344026</v>
      </c>
      <c r="U53" s="62">
        <v>28.647304708386262</v>
      </c>
      <c r="V53" s="62">
        <v>7.6151440516512841</v>
      </c>
      <c r="W53" s="62">
        <v>4.5022293316265483</v>
      </c>
      <c r="X53" s="62">
        <v>3.8939356429373602</v>
      </c>
      <c r="Y53" s="62">
        <v>7.8862266988231751</v>
      </c>
    </row>
    <row r="54" spans="1:25" s="19" customFormat="1" ht="15.95" customHeight="1" x14ac:dyDescent="0.25">
      <c r="A54" s="37"/>
      <c r="B54" s="38" t="s">
        <v>219</v>
      </c>
      <c r="C54" s="35"/>
      <c r="D54" s="61">
        <v>29.727881292233395</v>
      </c>
      <c r="E54" s="62">
        <v>26.729312333992254</v>
      </c>
      <c r="F54" s="62">
        <v>13.95638618827229</v>
      </c>
      <c r="G54" s="62">
        <v>7.0533918089291294</v>
      </c>
      <c r="H54" s="62">
        <v>2.28779474565816</v>
      </c>
      <c r="I54" s="62">
        <v>10.656226972665218</v>
      </c>
      <c r="J54" s="62">
        <v>14.961922672710918</v>
      </c>
      <c r="K54" s="62">
        <v>2.014461019331685</v>
      </c>
      <c r="L54" s="62">
        <v>6.9117488063202233</v>
      </c>
      <c r="M54" s="62">
        <v>2.3239924060476844</v>
      </c>
      <c r="N54" s="62">
        <v>3.2873518057232594</v>
      </c>
      <c r="O54" s="62">
        <v>0.91470421334261509</v>
      </c>
      <c r="P54" s="62">
        <v>17.401499976000924</v>
      </c>
      <c r="Q54" s="62">
        <v>3.8360544365035438</v>
      </c>
      <c r="R54" s="62">
        <v>6.1067187132016327</v>
      </c>
      <c r="S54" s="62">
        <v>4.8527653629713079</v>
      </c>
      <c r="T54" s="62">
        <v>4.9439695681398943</v>
      </c>
      <c r="U54" s="62">
        <v>35.053134619021279</v>
      </c>
      <c r="V54" s="62">
        <v>3.7947904953499458</v>
      </c>
      <c r="W54" s="62">
        <v>0.74554740981938572</v>
      </c>
      <c r="X54" s="62">
        <v>8.7527005726632492</v>
      </c>
      <c r="Y54" s="62">
        <v>7.3905825004168246</v>
      </c>
    </row>
    <row r="55" spans="1:25" s="19" customFormat="1" ht="15.95" customHeight="1" x14ac:dyDescent="0.25">
      <c r="A55" s="37"/>
      <c r="B55" s="38" t="s">
        <v>214</v>
      </c>
      <c r="C55" s="35"/>
      <c r="D55" s="61">
        <v>29.644423233177392</v>
      </c>
      <c r="E55" s="62">
        <v>35.613836887201401</v>
      </c>
      <c r="F55" s="62">
        <v>10.439163161239382</v>
      </c>
      <c r="G55" s="62">
        <v>5.1618851768997089</v>
      </c>
      <c r="H55" s="62">
        <v>5.6851853360224283</v>
      </c>
      <c r="I55" s="62">
        <v>4.623549281614161</v>
      </c>
      <c r="J55" s="62">
        <v>8.4330075257722115</v>
      </c>
      <c r="K55" s="62">
        <v>2.4238360471432725</v>
      </c>
      <c r="L55" s="62">
        <v>3.4000065210627413</v>
      </c>
      <c r="M55" s="62">
        <v>0.19982678397131845</v>
      </c>
      <c r="N55" s="62">
        <v>3.9475990304356725</v>
      </c>
      <c r="O55" s="62">
        <v>1.4324629742611159</v>
      </c>
      <c r="P55" s="62">
        <v>0.281307214313542</v>
      </c>
      <c r="Q55" s="62">
        <v>1.7723348566420669</v>
      </c>
      <c r="R55" s="62">
        <v>7.7011136419586705</v>
      </c>
      <c r="S55" s="62">
        <v>4.3685807930617822</v>
      </c>
      <c r="T55" s="62">
        <v>2.2848320230164649</v>
      </c>
      <c r="U55" s="62">
        <v>41.426599707395212</v>
      </c>
      <c r="V55" s="62">
        <v>7.8147889572167957</v>
      </c>
      <c r="W55" s="62">
        <v>5.5359960636837844</v>
      </c>
      <c r="X55" s="62">
        <v>9.1387950941054505</v>
      </c>
      <c r="Y55" s="62">
        <v>1.5767517482924556</v>
      </c>
    </row>
    <row r="56" spans="1:25" s="19" customFormat="1" ht="15.95" customHeight="1" x14ac:dyDescent="0.25">
      <c r="A56" s="37"/>
      <c r="B56" s="38" t="s">
        <v>216</v>
      </c>
      <c r="C56" s="35"/>
      <c r="D56" s="61">
        <v>31.644930015646896</v>
      </c>
      <c r="E56" s="62">
        <v>41.709876227708733</v>
      </c>
      <c r="F56" s="62">
        <v>12.495972886609392</v>
      </c>
      <c r="G56" s="62">
        <v>10.794117933808275</v>
      </c>
      <c r="H56" s="62">
        <v>6.6283006199248629</v>
      </c>
      <c r="I56" s="62">
        <v>7.6820453645749387</v>
      </c>
      <c r="J56" s="62">
        <v>4.2819224312150785</v>
      </c>
      <c r="K56" s="62">
        <v>9.1650135234846832</v>
      </c>
      <c r="L56" s="62">
        <v>8.6742700069967018</v>
      </c>
      <c r="M56" s="62">
        <v>7.9281029862490922</v>
      </c>
      <c r="N56" s="62">
        <v>3.7188001146636651</v>
      </c>
      <c r="O56" s="62">
        <v>3.7713013184136899</v>
      </c>
      <c r="P56" s="62">
        <v>0.88957372967520221</v>
      </c>
      <c r="Q56" s="62">
        <v>2.9557967390548714</v>
      </c>
      <c r="R56" s="62">
        <v>2.3087344725066523</v>
      </c>
      <c r="S56" s="62">
        <v>6.3258417885590044</v>
      </c>
      <c r="T56" s="62">
        <v>10.48297448313763</v>
      </c>
      <c r="U56" s="62">
        <v>27.409142387308982</v>
      </c>
      <c r="V56" s="62">
        <v>7.6553351743021514</v>
      </c>
      <c r="W56" s="62">
        <v>4.2334289380501398</v>
      </c>
      <c r="X56" s="62">
        <v>12.084655730506643</v>
      </c>
      <c r="Y56" s="62">
        <v>0</v>
      </c>
    </row>
    <row r="57" spans="1:25" s="19" customFormat="1" ht="15.95" customHeight="1" x14ac:dyDescent="0.25">
      <c r="A57" s="37"/>
      <c r="B57" s="38" t="s">
        <v>220</v>
      </c>
      <c r="C57" s="35"/>
      <c r="D57" s="61">
        <v>32.459834616351159</v>
      </c>
      <c r="E57" s="62">
        <v>45.260855327740373</v>
      </c>
      <c r="F57" s="62">
        <v>10.853515387342133</v>
      </c>
      <c r="G57" s="62">
        <v>13.37491401648648</v>
      </c>
      <c r="H57" s="62">
        <v>9.8781599122459838</v>
      </c>
      <c r="I57" s="62">
        <v>5.8060147911344622</v>
      </c>
      <c r="J57" s="62">
        <v>8.8254088835525586</v>
      </c>
      <c r="K57" s="62">
        <v>20.872502279093194</v>
      </c>
      <c r="L57" s="62">
        <v>7.1226234473638774</v>
      </c>
      <c r="M57" s="62">
        <v>6.1805502962129459</v>
      </c>
      <c r="N57" s="62">
        <v>8.3145169391847098</v>
      </c>
      <c r="O57" s="62">
        <v>4.4888413325018481</v>
      </c>
      <c r="P57" s="62">
        <v>2.1189993257147308</v>
      </c>
      <c r="Q57" s="62">
        <v>7.5932695462278037</v>
      </c>
      <c r="R57" s="62">
        <v>7.1815809497135668</v>
      </c>
      <c r="S57" s="62">
        <v>4.7475821357373151</v>
      </c>
      <c r="T57" s="62">
        <v>12.397059254100178</v>
      </c>
      <c r="U57" s="62">
        <v>40.246442040930397</v>
      </c>
      <c r="V57" s="62">
        <v>10.892241711756256</v>
      </c>
      <c r="W57" s="62">
        <v>4.1901579332319807</v>
      </c>
      <c r="X57" s="62">
        <v>11.378060216650747</v>
      </c>
      <c r="Y57" s="62">
        <v>13.966126131198145</v>
      </c>
    </row>
    <row r="58" spans="1:25" s="19" customFormat="1" ht="15.95" customHeight="1" x14ac:dyDescent="0.25">
      <c r="A58" s="37"/>
      <c r="B58" s="38" t="s">
        <v>165</v>
      </c>
      <c r="C58" s="35"/>
      <c r="D58" s="61">
        <v>30.794385609919441</v>
      </c>
      <c r="E58" s="62">
        <v>40.509187398577353</v>
      </c>
      <c r="F58" s="62">
        <v>14.285745105094152</v>
      </c>
      <c r="G58" s="62">
        <v>7.1197044371215918</v>
      </c>
      <c r="H58" s="62">
        <v>5.1809904781515925</v>
      </c>
      <c r="I58" s="62">
        <v>12.098629956633383</v>
      </c>
      <c r="J58" s="62">
        <v>8.9096767079652004</v>
      </c>
      <c r="K58" s="62">
        <v>5.1027835644981403</v>
      </c>
      <c r="L58" s="62">
        <v>5.848284641458287</v>
      </c>
      <c r="M58" s="62">
        <v>4.0797530907607165</v>
      </c>
      <c r="N58" s="62">
        <v>1.7140216535729522</v>
      </c>
      <c r="O58" s="62">
        <v>4.2216090341156587</v>
      </c>
      <c r="P58" s="62">
        <v>1.489905661208083</v>
      </c>
      <c r="Q58" s="62">
        <v>4.0226942637113758</v>
      </c>
      <c r="R58" s="62">
        <v>3.043690735866436</v>
      </c>
      <c r="S58" s="62">
        <v>1.2914579093860745</v>
      </c>
      <c r="T58" s="62">
        <v>4.8497659234559896</v>
      </c>
      <c r="U58" s="62">
        <v>33.065585035731836</v>
      </c>
      <c r="V58" s="62">
        <v>4.2848744140098178</v>
      </c>
      <c r="W58" s="62">
        <v>0.97011270306438124</v>
      </c>
      <c r="X58" s="62">
        <v>2.1874289821825514</v>
      </c>
      <c r="Y58" s="62">
        <v>10.427194594945169</v>
      </c>
    </row>
    <row r="59" spans="1:25" s="19" customFormat="1" ht="15.95" customHeight="1" x14ac:dyDescent="0.25">
      <c r="A59" s="37"/>
      <c r="B59" s="38" t="s">
        <v>158</v>
      </c>
      <c r="C59" s="35"/>
      <c r="D59" s="61">
        <v>29.061822040814761</v>
      </c>
      <c r="E59" s="62">
        <v>47.399844359694143</v>
      </c>
      <c r="F59" s="62">
        <v>9.9645357000462624</v>
      </c>
      <c r="G59" s="62">
        <v>4.957841924728875</v>
      </c>
      <c r="H59" s="62">
        <v>3.1012682622653904</v>
      </c>
      <c r="I59" s="62">
        <v>7.9599876072511924</v>
      </c>
      <c r="J59" s="62">
        <v>4.6411667658604001</v>
      </c>
      <c r="K59" s="62">
        <v>6.7803494903803738</v>
      </c>
      <c r="L59" s="62">
        <v>8.4953448110561673</v>
      </c>
      <c r="M59" s="62">
        <v>2.1173390748757264</v>
      </c>
      <c r="N59" s="62">
        <v>0.81044619511856431</v>
      </c>
      <c r="O59" s="62">
        <v>0.91998543831734991</v>
      </c>
      <c r="P59" s="62">
        <v>1.9234532593558713</v>
      </c>
      <c r="Q59" s="62">
        <v>0.14718006483113175</v>
      </c>
      <c r="R59" s="62">
        <v>4.9187588717593522</v>
      </c>
      <c r="S59" s="62">
        <v>5.6519049902592764</v>
      </c>
      <c r="T59" s="62">
        <v>4.9446248839110289</v>
      </c>
      <c r="U59" s="62">
        <v>23.083953256813057</v>
      </c>
      <c r="V59" s="62">
        <v>6.104536971185401</v>
      </c>
      <c r="W59" s="62">
        <v>2.0876891776477096</v>
      </c>
      <c r="X59" s="62">
        <v>0.6299139297964218</v>
      </c>
      <c r="Y59" s="62">
        <v>3.1595003165254458</v>
      </c>
    </row>
    <row r="60" spans="1:25" s="19" customFormat="1" ht="15.95" customHeight="1" x14ac:dyDescent="0.25">
      <c r="A60" s="37"/>
      <c r="B60" s="38" t="s">
        <v>159</v>
      </c>
      <c r="C60" s="35"/>
      <c r="D60" s="61">
        <v>31.858481515204282</v>
      </c>
      <c r="E60" s="62">
        <v>38.865685676465084</v>
      </c>
      <c r="F60" s="62">
        <v>9.5708414889459057</v>
      </c>
      <c r="G60" s="62">
        <v>6.2705847387483846</v>
      </c>
      <c r="H60" s="62">
        <v>6.2513791525594247</v>
      </c>
      <c r="I60" s="62">
        <v>1.5311392732648266</v>
      </c>
      <c r="J60" s="62">
        <v>4.5521257769078725</v>
      </c>
      <c r="K60" s="62">
        <v>2.7706087693389856</v>
      </c>
      <c r="L60" s="62">
        <v>16.137719122099632</v>
      </c>
      <c r="M60" s="62">
        <v>0</v>
      </c>
      <c r="N60" s="62">
        <v>0</v>
      </c>
      <c r="O60" s="62">
        <v>8.7597298785934132</v>
      </c>
      <c r="P60" s="62">
        <v>0</v>
      </c>
      <c r="Q60" s="62">
        <v>3.5108517288585146</v>
      </c>
      <c r="R60" s="62">
        <v>3.7994122072441496</v>
      </c>
      <c r="S60" s="62">
        <v>48.723556520187714</v>
      </c>
      <c r="T60" s="62">
        <v>9.2061495897540553</v>
      </c>
      <c r="U60" s="62">
        <v>32.3347210484567</v>
      </c>
      <c r="V60" s="62">
        <v>10.252951662611677</v>
      </c>
      <c r="W60" s="62">
        <v>5.1597960280142789</v>
      </c>
      <c r="X60" s="62">
        <v>0</v>
      </c>
      <c r="Y60" s="62">
        <v>0</v>
      </c>
    </row>
    <row r="61" spans="1:25" s="19" customFormat="1" ht="15.95" customHeight="1" x14ac:dyDescent="0.25">
      <c r="A61" s="37"/>
      <c r="B61" s="38" t="s">
        <v>75</v>
      </c>
      <c r="C61" s="35"/>
      <c r="D61" s="61">
        <v>33.732704220746065</v>
      </c>
      <c r="E61" s="62">
        <v>11.096051695500755</v>
      </c>
      <c r="F61" s="62">
        <v>12.986188524268044</v>
      </c>
      <c r="G61" s="62">
        <v>22.54072204887191</v>
      </c>
      <c r="H61" s="62">
        <v>0</v>
      </c>
      <c r="I61" s="62">
        <v>0</v>
      </c>
      <c r="J61" s="62">
        <v>0</v>
      </c>
      <c r="K61" s="62">
        <v>3.4788904562692631</v>
      </c>
      <c r="L61" s="62">
        <v>0.8764752154873755</v>
      </c>
      <c r="M61" s="62">
        <v>0</v>
      </c>
      <c r="N61" s="62">
        <v>0</v>
      </c>
      <c r="O61" s="62">
        <v>5.1358748195606534</v>
      </c>
      <c r="P61" s="62">
        <v>0</v>
      </c>
      <c r="Q61" s="62">
        <v>0</v>
      </c>
      <c r="R61" s="62">
        <v>0.63205301205358599</v>
      </c>
      <c r="S61" s="62">
        <v>0.42784735959421205</v>
      </c>
      <c r="T61" s="62">
        <v>2.3662317659217118</v>
      </c>
      <c r="U61" s="62">
        <v>21.813713890050529</v>
      </c>
      <c r="V61" s="62">
        <v>0.96048225232221407</v>
      </c>
      <c r="W61" s="62">
        <v>8.4936712468749107</v>
      </c>
      <c r="X61" s="62">
        <v>18.97506247793142</v>
      </c>
      <c r="Y61" s="62">
        <v>0</v>
      </c>
    </row>
    <row r="62" spans="1:25" s="19" customFormat="1" ht="15.95" customHeight="1" x14ac:dyDescent="0.25">
      <c r="A62" s="63"/>
      <c r="B62" s="64"/>
      <c r="C62" s="142"/>
      <c r="D62" s="67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 spans="1:25" s="19" customFormat="1" ht="15.95" customHeight="1" x14ac:dyDescent="0.25">
      <c r="A63" s="30"/>
      <c r="B63" s="70"/>
      <c r="C63" s="143"/>
      <c r="D63" s="110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</row>
    <row r="64" spans="1:25" s="19" customFormat="1" ht="15.95" customHeight="1" x14ac:dyDescent="0.25">
      <c r="A64" s="37" t="s">
        <v>62</v>
      </c>
      <c r="B64" s="38"/>
      <c r="C64" s="35"/>
      <c r="D64" s="61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spans="1:25" s="19" customFormat="1" ht="15.95" customHeight="1" x14ac:dyDescent="0.25">
      <c r="A65" s="37"/>
      <c r="B65" s="38" t="s">
        <v>129</v>
      </c>
      <c r="C65" s="35"/>
      <c r="D65" s="61">
        <v>29.014056780110078</v>
      </c>
      <c r="E65" s="62">
        <v>39.511744011235457</v>
      </c>
      <c r="F65" s="62">
        <v>13.831350718772832</v>
      </c>
      <c r="G65" s="62">
        <v>9.1024026025317557</v>
      </c>
      <c r="H65" s="62">
        <v>6.5065499727022917</v>
      </c>
      <c r="I65" s="62">
        <v>9.1000035576599068</v>
      </c>
      <c r="J65" s="62">
        <v>8.3227992399336603</v>
      </c>
      <c r="K65" s="62">
        <v>8.3848161446404514</v>
      </c>
      <c r="L65" s="62">
        <v>6.8836002329805828</v>
      </c>
      <c r="M65" s="62">
        <v>5.9974920944106724</v>
      </c>
      <c r="N65" s="62">
        <v>6.1528189320344024</v>
      </c>
      <c r="O65" s="62">
        <v>5.3917762827239706</v>
      </c>
      <c r="P65" s="62">
        <v>5.1766519367084705</v>
      </c>
      <c r="Q65" s="62">
        <v>5.2919716533363079</v>
      </c>
      <c r="R65" s="62">
        <v>5.7925897011149949</v>
      </c>
      <c r="S65" s="62">
        <v>6.2279011362469188</v>
      </c>
      <c r="T65" s="62">
        <v>4.9633569449108377</v>
      </c>
      <c r="U65" s="62">
        <v>36.8550361796228</v>
      </c>
      <c r="V65" s="62">
        <v>6.6876959925249828</v>
      </c>
      <c r="W65" s="62">
        <v>4.0897518608013499</v>
      </c>
      <c r="X65" s="62">
        <v>0</v>
      </c>
      <c r="Y65" s="62">
        <v>0</v>
      </c>
    </row>
    <row r="66" spans="1:25" s="19" customFormat="1" ht="15.95" customHeight="1" x14ac:dyDescent="0.25">
      <c r="A66" s="37"/>
      <c r="B66" s="38" t="s">
        <v>130</v>
      </c>
      <c r="C66" s="35"/>
      <c r="D66" s="61">
        <v>29.835196621111727</v>
      </c>
      <c r="E66" s="62">
        <v>43.35789371760707</v>
      </c>
      <c r="F66" s="62">
        <v>13.745491977425583</v>
      </c>
      <c r="G66" s="62">
        <v>9.1630708023113048</v>
      </c>
      <c r="H66" s="62">
        <v>5.7668185849126505</v>
      </c>
      <c r="I66" s="62">
        <v>8.0361668172551113</v>
      </c>
      <c r="J66" s="62">
        <v>7.9890562421904754</v>
      </c>
      <c r="K66" s="62">
        <v>8.597448880921295</v>
      </c>
      <c r="L66" s="62">
        <v>7.8930034970403318</v>
      </c>
      <c r="M66" s="62">
        <v>4.9373700226610122</v>
      </c>
      <c r="N66" s="62">
        <v>5.3183222609917502</v>
      </c>
      <c r="O66" s="62">
        <v>4.4635602811254875</v>
      </c>
      <c r="P66" s="62">
        <v>5.7738740481608115</v>
      </c>
      <c r="Q66" s="62">
        <v>5.6566869824726691</v>
      </c>
      <c r="R66" s="62">
        <v>5.1242708631447149</v>
      </c>
      <c r="S66" s="62">
        <v>5.350059411585236</v>
      </c>
      <c r="T66" s="62">
        <v>6.8689388160886216</v>
      </c>
      <c r="U66" s="62">
        <v>38.105279464987021</v>
      </c>
      <c r="V66" s="62">
        <v>6.9977111667927261</v>
      </c>
      <c r="W66" s="62">
        <v>4.5885996077734132</v>
      </c>
      <c r="X66" s="62">
        <v>12.665160369116361</v>
      </c>
      <c r="Y66" s="62">
        <v>12.025753333406938</v>
      </c>
    </row>
    <row r="67" spans="1:25" s="19" customFormat="1" ht="15.95" customHeight="1" x14ac:dyDescent="0.25">
      <c r="A67" s="37"/>
      <c r="B67" s="38" t="s">
        <v>131</v>
      </c>
      <c r="C67" s="35"/>
      <c r="D67" s="61">
        <v>31.830622887069765</v>
      </c>
      <c r="E67" s="62">
        <v>43.465803523435831</v>
      </c>
      <c r="F67" s="62">
        <v>13.98504355573254</v>
      </c>
      <c r="G67" s="62">
        <v>9.8929127687928009</v>
      </c>
      <c r="H67" s="62">
        <v>5.6692317703816268</v>
      </c>
      <c r="I67" s="62">
        <v>8.73716965750668</v>
      </c>
      <c r="J67" s="62">
        <v>7.7263766079199465</v>
      </c>
      <c r="K67" s="62">
        <v>9.6218393422622519</v>
      </c>
      <c r="L67" s="62">
        <v>8.5610708412393119</v>
      </c>
      <c r="M67" s="62">
        <v>5.2995998217846596</v>
      </c>
      <c r="N67" s="62">
        <v>6.1577846749238372</v>
      </c>
      <c r="O67" s="62">
        <v>4.7937850442521723</v>
      </c>
      <c r="P67" s="62">
        <v>6.3678434212108401</v>
      </c>
      <c r="Q67" s="62">
        <v>5.5524054182027935</v>
      </c>
      <c r="R67" s="62">
        <v>4.3280815670766124</v>
      </c>
      <c r="S67" s="62">
        <v>6.0775016019651273</v>
      </c>
      <c r="T67" s="62">
        <v>8.7023258995775414</v>
      </c>
      <c r="U67" s="62">
        <v>38.453272921875438</v>
      </c>
      <c r="V67" s="62">
        <v>7.0207840437238209</v>
      </c>
      <c r="W67" s="62">
        <v>3.9304326274045174</v>
      </c>
      <c r="X67" s="62">
        <v>13.149378479245753</v>
      </c>
      <c r="Y67" s="62">
        <v>10.677908578794918</v>
      </c>
    </row>
    <row r="68" spans="1:25" s="19" customFormat="1" ht="15.95" customHeight="1" x14ac:dyDescent="0.25">
      <c r="A68" s="37"/>
      <c r="B68" s="38" t="s">
        <v>132</v>
      </c>
      <c r="C68" s="35"/>
      <c r="D68" s="61">
        <v>31.028771380488042</v>
      </c>
      <c r="E68" s="62">
        <v>42.488079614918</v>
      </c>
      <c r="F68" s="62">
        <v>13.931605809559787</v>
      </c>
      <c r="G68" s="62">
        <v>10.528180670185773</v>
      </c>
      <c r="H68" s="62">
        <v>5.8583264149798771</v>
      </c>
      <c r="I68" s="62">
        <v>8.8055951289926675</v>
      </c>
      <c r="J68" s="62">
        <v>8.581144289120914</v>
      </c>
      <c r="K68" s="62">
        <v>9.4870159104475533</v>
      </c>
      <c r="L68" s="62">
        <v>8.7621774395430112</v>
      </c>
      <c r="M68" s="62">
        <v>5.5239785892188964</v>
      </c>
      <c r="N68" s="62">
        <v>5.7839025724899313</v>
      </c>
      <c r="O68" s="62">
        <v>5.1641993332378897</v>
      </c>
      <c r="P68" s="62">
        <v>6.3516620210091972</v>
      </c>
      <c r="Q68" s="62">
        <v>5.6015168670447366</v>
      </c>
      <c r="R68" s="62">
        <v>5.9415144028601858</v>
      </c>
      <c r="S68" s="62">
        <v>6.2929797702386292</v>
      </c>
      <c r="T68" s="62">
        <v>8.5668144050347745</v>
      </c>
      <c r="U68" s="62">
        <v>38.97212131600039</v>
      </c>
      <c r="V68" s="62">
        <v>8.2961838834572958</v>
      </c>
      <c r="W68" s="62">
        <v>3.9839155765416807</v>
      </c>
      <c r="X68" s="62">
        <v>12.815736394859689</v>
      </c>
      <c r="Y68" s="62">
        <v>11.364047357811776</v>
      </c>
    </row>
    <row r="69" spans="1:25" s="19" customFormat="1" ht="15.95" customHeight="1" x14ac:dyDescent="0.25">
      <c r="A69" s="37"/>
      <c r="B69" s="38" t="s">
        <v>133</v>
      </c>
      <c r="C69" s="35"/>
      <c r="D69" s="61">
        <v>32.658601064793665</v>
      </c>
      <c r="E69" s="62">
        <v>42.569973183045398</v>
      </c>
      <c r="F69" s="62">
        <v>14.174843643776699</v>
      </c>
      <c r="G69" s="62">
        <v>10.802349062571544</v>
      </c>
      <c r="H69" s="62">
        <v>5.9296001540179519</v>
      </c>
      <c r="I69" s="62">
        <v>8.7145294690747228</v>
      </c>
      <c r="J69" s="62">
        <v>9.4299917623213965</v>
      </c>
      <c r="K69" s="62">
        <v>9.8334657670538768</v>
      </c>
      <c r="L69" s="62">
        <v>8.4346411180149126</v>
      </c>
      <c r="M69" s="62">
        <v>4.9008887470086551</v>
      </c>
      <c r="N69" s="62">
        <v>5.9152311707520502</v>
      </c>
      <c r="O69" s="62">
        <v>4.5360223897833043</v>
      </c>
      <c r="P69" s="62">
        <v>6.3901482547031954</v>
      </c>
      <c r="Q69" s="62">
        <v>5.8207001224442942</v>
      </c>
      <c r="R69" s="62">
        <v>4.9962261495020819</v>
      </c>
      <c r="S69" s="62">
        <v>6.6859017497231292</v>
      </c>
      <c r="T69" s="62">
        <v>7.4297239856619903</v>
      </c>
      <c r="U69" s="62">
        <v>40.638149532871573</v>
      </c>
      <c r="V69" s="62">
        <v>8.176395082850572</v>
      </c>
      <c r="W69" s="62">
        <v>4.5131050310449572</v>
      </c>
      <c r="X69" s="62">
        <v>12.991213673377292</v>
      </c>
      <c r="Y69" s="62">
        <v>10.573041952952236</v>
      </c>
    </row>
    <row r="70" spans="1:25" s="19" customFormat="1" ht="15.95" customHeight="1" x14ac:dyDescent="0.25">
      <c r="A70" s="37"/>
      <c r="B70" s="38" t="s">
        <v>134</v>
      </c>
      <c r="C70" s="35"/>
      <c r="D70" s="61">
        <v>33.221295581539643</v>
      </c>
      <c r="E70" s="62">
        <v>41.278436345135653</v>
      </c>
      <c r="F70" s="62">
        <v>15.606894462844993</v>
      </c>
      <c r="G70" s="62">
        <v>11.861590295761127</v>
      </c>
      <c r="H70" s="62">
        <v>6.5329110608726255</v>
      </c>
      <c r="I70" s="62">
        <v>9.4262010594467345</v>
      </c>
      <c r="J70" s="62">
        <v>8.4223768489080406</v>
      </c>
      <c r="K70" s="62">
        <v>8.951782766389897</v>
      </c>
      <c r="L70" s="62">
        <v>8.2375510307940605</v>
      </c>
      <c r="M70" s="62">
        <v>5.6859017032145358</v>
      </c>
      <c r="N70" s="62">
        <v>5.394527570328143</v>
      </c>
      <c r="O70" s="62">
        <v>4.8542725965017395</v>
      </c>
      <c r="P70" s="62">
        <v>5.8111717545307515</v>
      </c>
      <c r="Q70" s="62">
        <v>6.1542326714481588</v>
      </c>
      <c r="R70" s="62">
        <v>5.1227774878458501</v>
      </c>
      <c r="S70" s="62">
        <v>6.6238162248469514</v>
      </c>
      <c r="T70" s="62">
        <v>7.4775523291425579</v>
      </c>
      <c r="U70" s="62">
        <v>38.017834211981565</v>
      </c>
      <c r="V70" s="62">
        <v>8.5595639041401554</v>
      </c>
      <c r="W70" s="62">
        <v>4.3971938337492231</v>
      </c>
      <c r="X70" s="62">
        <v>9.6820290392319883</v>
      </c>
      <c r="Y70" s="62">
        <v>12.932177905594953</v>
      </c>
    </row>
    <row r="71" spans="1:25" s="19" customFormat="1" ht="15.95" customHeight="1" x14ac:dyDescent="0.25">
      <c r="A71" s="37"/>
      <c r="B71" s="38" t="s">
        <v>135</v>
      </c>
      <c r="C71" s="35"/>
      <c r="D71" s="61">
        <v>33.610119644547261</v>
      </c>
      <c r="E71" s="62">
        <v>41.538114267311101</v>
      </c>
      <c r="F71" s="62">
        <v>14.658397606394296</v>
      </c>
      <c r="G71" s="62">
        <v>12.315165916522171</v>
      </c>
      <c r="H71" s="62">
        <v>6.487978356190979</v>
      </c>
      <c r="I71" s="62">
        <v>9.1194968725419372</v>
      </c>
      <c r="J71" s="62">
        <v>9.6251481776028935</v>
      </c>
      <c r="K71" s="62">
        <v>8.5076397215138524</v>
      </c>
      <c r="L71" s="62">
        <v>6.8433225652977985</v>
      </c>
      <c r="M71" s="62">
        <v>6.4585861361919399</v>
      </c>
      <c r="N71" s="62">
        <v>4.7338889332801957</v>
      </c>
      <c r="O71" s="62">
        <v>5.282138770287987</v>
      </c>
      <c r="P71" s="62">
        <v>5.1955005341304625</v>
      </c>
      <c r="Q71" s="62">
        <v>6.0081780490651937</v>
      </c>
      <c r="R71" s="62">
        <v>5.565672606949863</v>
      </c>
      <c r="S71" s="62">
        <v>5.9596395149904922</v>
      </c>
      <c r="T71" s="62">
        <v>7.0223626686133942</v>
      </c>
      <c r="U71" s="62">
        <v>40.575146877528219</v>
      </c>
      <c r="V71" s="62">
        <v>8.720534287467137</v>
      </c>
      <c r="W71" s="62">
        <v>4.0723886523594928</v>
      </c>
      <c r="X71" s="62">
        <v>9.9910113372760705</v>
      </c>
      <c r="Y71" s="62">
        <v>11.260382071163463</v>
      </c>
    </row>
    <row r="72" spans="1:25" s="19" customFormat="1" ht="15.95" customHeight="1" x14ac:dyDescent="0.25">
      <c r="A72" s="37"/>
      <c r="B72" s="38" t="s">
        <v>136</v>
      </c>
      <c r="C72" s="35"/>
      <c r="D72" s="61">
        <v>33.789885175872975</v>
      </c>
      <c r="E72" s="62">
        <v>42.840117394753619</v>
      </c>
      <c r="F72" s="62">
        <v>15.01851515798441</v>
      </c>
      <c r="G72" s="62">
        <v>12.207126573884533</v>
      </c>
      <c r="H72" s="62">
        <v>6.732501786372862</v>
      </c>
      <c r="I72" s="62">
        <v>9.2986669616275996</v>
      </c>
      <c r="J72" s="62">
        <v>10.295360708652009</v>
      </c>
      <c r="K72" s="62">
        <v>10.008075389857535</v>
      </c>
      <c r="L72" s="62">
        <v>8.7581740400616095</v>
      </c>
      <c r="M72" s="62">
        <v>5.4835591973790674</v>
      </c>
      <c r="N72" s="62">
        <v>5.9324117838954038</v>
      </c>
      <c r="O72" s="62">
        <v>5.2926817783444804</v>
      </c>
      <c r="P72" s="62">
        <v>6.1922856051595945</v>
      </c>
      <c r="Q72" s="62">
        <v>5.2068096775708019</v>
      </c>
      <c r="R72" s="62">
        <v>6.0828602217038101</v>
      </c>
      <c r="S72" s="62">
        <v>6.0538901553309072</v>
      </c>
      <c r="T72" s="62">
        <v>6.9989452218663324</v>
      </c>
      <c r="U72" s="62">
        <v>39.782065130997658</v>
      </c>
      <c r="V72" s="62">
        <v>8.3454721924263549</v>
      </c>
      <c r="W72" s="62">
        <v>4.9336247971437883</v>
      </c>
      <c r="X72" s="62">
        <v>10.197799540448793</v>
      </c>
      <c r="Y72" s="62">
        <v>12.107407628440155</v>
      </c>
    </row>
    <row r="73" spans="1:25" s="19" customFormat="1" ht="15.95" customHeight="1" x14ac:dyDescent="0.25">
      <c r="A73" s="37"/>
      <c r="B73" s="38" t="s">
        <v>192</v>
      </c>
      <c r="C73" s="35"/>
      <c r="D73" s="61">
        <v>33.594427775523307</v>
      </c>
      <c r="E73" s="62">
        <v>40.377292476077564</v>
      </c>
      <c r="F73" s="62">
        <v>12.167233426409149</v>
      </c>
      <c r="G73" s="62">
        <v>8.6108846797484055</v>
      </c>
      <c r="H73" s="62">
        <v>5.466201783186496</v>
      </c>
      <c r="I73" s="62">
        <v>8.2937249546277005</v>
      </c>
      <c r="J73" s="62">
        <v>8.1254754171305077</v>
      </c>
      <c r="K73" s="62">
        <v>6.1114571788317962</v>
      </c>
      <c r="L73" s="62">
        <v>6.6689303706917826</v>
      </c>
      <c r="M73" s="62">
        <v>4.3519826496845759</v>
      </c>
      <c r="N73" s="62">
        <v>4.9822714705871203</v>
      </c>
      <c r="O73" s="62">
        <v>3.6617672133513279</v>
      </c>
      <c r="P73" s="62">
        <v>4.3952102891668972</v>
      </c>
      <c r="Q73" s="62">
        <v>4.6217208638319223</v>
      </c>
      <c r="R73" s="62">
        <v>2.8585597750554017</v>
      </c>
      <c r="S73" s="62">
        <v>4.5581924403922249</v>
      </c>
      <c r="T73" s="62">
        <v>6.9361783649164073</v>
      </c>
      <c r="U73" s="62">
        <v>34.428985965678436</v>
      </c>
      <c r="V73" s="62">
        <v>6.9311093587864328</v>
      </c>
      <c r="W73" s="62">
        <v>3.82407502503334</v>
      </c>
      <c r="X73" s="62">
        <v>9.4896883623253903</v>
      </c>
      <c r="Y73" s="62">
        <v>8.8338986154253742</v>
      </c>
    </row>
    <row r="74" spans="1:25" s="19" customFormat="1" ht="15.95" customHeight="1" x14ac:dyDescent="0.25">
      <c r="A74" s="37"/>
      <c r="B74" s="38" t="s">
        <v>194</v>
      </c>
      <c r="C74" s="35"/>
      <c r="D74" s="61">
        <v>28.652936946120072</v>
      </c>
      <c r="E74" s="62">
        <v>37.178081176308083</v>
      </c>
      <c r="F74" s="62">
        <v>9.0586377049163431</v>
      </c>
      <c r="G74" s="62">
        <v>8.8107074419040767</v>
      </c>
      <c r="H74" s="62">
        <v>4.8248527175875351</v>
      </c>
      <c r="I74" s="62">
        <v>8.3816813872894986</v>
      </c>
      <c r="J74" s="62">
        <v>7.9352382321615149</v>
      </c>
      <c r="K74" s="62">
        <v>5.2063358812886209</v>
      </c>
      <c r="L74" s="62">
        <v>5.7691759647234502</v>
      </c>
      <c r="M74" s="62">
        <v>4.687168639245237</v>
      </c>
      <c r="N74" s="62">
        <v>3.4733799732303949</v>
      </c>
      <c r="O74" s="62">
        <v>3.4158440484938906</v>
      </c>
      <c r="P74" s="62">
        <v>2.6675007033821485</v>
      </c>
      <c r="Q74" s="62">
        <v>4.8605640498084224</v>
      </c>
      <c r="R74" s="62">
        <v>4.4028539171130792</v>
      </c>
      <c r="S74" s="62">
        <v>4.8547900017919714</v>
      </c>
      <c r="T74" s="62">
        <v>7.0160984724763713</v>
      </c>
      <c r="U74" s="62">
        <v>32.488180883755334</v>
      </c>
      <c r="V74" s="62">
        <v>6.132202580950338</v>
      </c>
      <c r="W74" s="62">
        <v>4.4708503584901882</v>
      </c>
      <c r="X74" s="62">
        <v>6.7866152779647289</v>
      </c>
      <c r="Y74" s="62">
        <v>8.4260663245956291</v>
      </c>
    </row>
    <row r="75" spans="1:25" s="19" customFormat="1" ht="15.95" customHeight="1" x14ac:dyDescent="0.25">
      <c r="A75" s="37"/>
      <c r="B75" s="38" t="s">
        <v>205</v>
      </c>
      <c r="C75" s="35"/>
      <c r="D75" s="61">
        <f>D$9</f>
        <v>29.022312775316411</v>
      </c>
      <c r="E75" s="62">
        <f t="shared" ref="E75:Y75" si="0">E$9</f>
        <v>38.331317629269911</v>
      </c>
      <c r="F75" s="62">
        <f t="shared" si="0"/>
        <v>12.943645952262127</v>
      </c>
      <c r="G75" s="62">
        <f t="shared" si="0"/>
        <v>9.0082473417590023</v>
      </c>
      <c r="H75" s="62">
        <f t="shared" si="0"/>
        <v>4.9273884883642314</v>
      </c>
      <c r="I75" s="62">
        <f t="shared" si="0"/>
        <v>10.190651823749789</v>
      </c>
      <c r="J75" s="62">
        <f t="shared" si="0"/>
        <v>8.3201713019705839</v>
      </c>
      <c r="K75" s="62">
        <f t="shared" si="0"/>
        <v>6.923085791484759</v>
      </c>
      <c r="L75" s="62">
        <f t="shared" si="0"/>
        <v>6.8143924154647859</v>
      </c>
      <c r="M75" s="62">
        <f t="shared" si="0"/>
        <v>3.4478565265061993</v>
      </c>
      <c r="N75" s="62">
        <f t="shared" si="0"/>
        <v>3.325239038165047</v>
      </c>
      <c r="O75" s="62">
        <f t="shared" si="0"/>
        <v>3.8018242629028753</v>
      </c>
      <c r="P75" s="62">
        <f t="shared" si="0"/>
        <v>4.4064473825481825</v>
      </c>
      <c r="Q75" s="62">
        <f t="shared" si="0"/>
        <v>4.0721625077748449</v>
      </c>
      <c r="R75" s="62">
        <f t="shared" si="0"/>
        <v>5.4019043222785603</v>
      </c>
      <c r="S75" s="62">
        <f t="shared" si="0"/>
        <v>5.039814177553442</v>
      </c>
      <c r="T75" s="62">
        <f t="shared" si="0"/>
        <v>5.606016836790265</v>
      </c>
      <c r="U75" s="62">
        <f t="shared" si="0"/>
        <v>33.371023516183769</v>
      </c>
      <c r="V75" s="62">
        <f t="shared" si="0"/>
        <v>6.8478047114534135</v>
      </c>
      <c r="W75" s="62">
        <f t="shared" si="0"/>
        <v>4.1896617567902332</v>
      </c>
      <c r="X75" s="62">
        <f t="shared" si="0"/>
        <v>5.9422513303622111</v>
      </c>
      <c r="Y75" s="62">
        <f t="shared" si="0"/>
        <v>9.9172226222589863</v>
      </c>
    </row>
    <row r="76" spans="1:25" s="23" customFormat="1" ht="3" customHeight="1" x14ac:dyDescent="0.25">
      <c r="A76" s="39"/>
      <c r="B76" s="40"/>
      <c r="C76" s="41"/>
      <c r="D76" s="42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6.5" customHeight="1" x14ac:dyDescent="0.25">
      <c r="A77" s="44"/>
      <c r="O77" s="144"/>
    </row>
  </sheetData>
  <mergeCells count="7">
    <mergeCell ref="O1:Y1"/>
    <mergeCell ref="A3:N3"/>
    <mergeCell ref="A5:C5"/>
    <mergeCell ref="A2:N2"/>
    <mergeCell ref="O3:Y3"/>
    <mergeCell ref="O2:Y2"/>
    <mergeCell ref="A1:N1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3" max="16383" man="1"/>
  </rowBreaks>
  <colBreaks count="1" manualBreakCount="1">
    <brk id="1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A16C-6966-4F02-9F15-97F4EA83B759}">
  <sheetPr codeName="工作表27"/>
  <dimension ref="A1:T102"/>
  <sheetViews>
    <sheetView showGridLines="0" view="pageBreakPreview" topLeftCell="A2" zoomScale="110" zoomScaleNormal="70" zoomScaleSheetLayoutView="110" workbookViewId="0">
      <selection activeCell="F6" sqref="F6:F8"/>
    </sheetView>
  </sheetViews>
  <sheetFormatPr defaultColWidth="9" defaultRowHeight="11.1" customHeight="1" x14ac:dyDescent="0.25"/>
  <cols>
    <col min="1" max="1" width="0.75" style="18" customWidth="1"/>
    <col min="2" max="2" width="15" style="44" customWidth="1"/>
    <col min="3" max="3" width="1.125" style="45" customWidth="1"/>
    <col min="4" max="4" width="7.375" style="46" customWidth="1"/>
    <col min="5" max="20" width="7.375" style="47" customWidth="1"/>
    <col min="21" max="16384" width="9" style="46"/>
  </cols>
  <sheetData>
    <row r="1" spans="1:20" s="14" customFormat="1" ht="22.15" customHeight="1" x14ac:dyDescent="0.25">
      <c r="A1" s="152"/>
      <c r="B1" s="152"/>
      <c r="C1" s="152"/>
      <c r="D1" s="152"/>
      <c r="E1" s="173" t="s">
        <v>263</v>
      </c>
      <c r="F1" s="152" t="s">
        <v>184</v>
      </c>
      <c r="G1" s="152"/>
      <c r="H1" s="152"/>
      <c r="I1" s="152"/>
      <c r="J1" s="152"/>
      <c r="K1" s="17"/>
      <c r="L1" s="22"/>
      <c r="M1" s="50" t="s">
        <v>185</v>
      </c>
      <c r="N1" s="17"/>
      <c r="R1" s="17"/>
      <c r="S1" s="17"/>
      <c r="T1" s="17"/>
    </row>
    <row r="2" spans="1:20" s="14" customFormat="1" ht="16.149999999999999" customHeight="1" x14ac:dyDescent="0.25">
      <c r="B2" s="22"/>
      <c r="C2" s="22"/>
      <c r="D2" s="22"/>
      <c r="E2" s="22"/>
      <c r="F2" s="10" t="s">
        <v>280</v>
      </c>
      <c r="G2" s="22"/>
      <c r="H2" s="22"/>
      <c r="I2" s="22"/>
      <c r="J2" s="22"/>
      <c r="K2" s="17"/>
      <c r="L2" s="22"/>
      <c r="M2" s="10" t="s">
        <v>280</v>
      </c>
      <c r="N2" s="17"/>
      <c r="R2" s="17"/>
      <c r="S2" s="17"/>
      <c r="T2" s="17"/>
    </row>
    <row r="3" spans="1:20" s="19" customFormat="1" ht="13.5" customHeight="1" x14ac:dyDescent="0.25">
      <c r="B3" s="48"/>
      <c r="C3" s="48"/>
      <c r="D3" s="48"/>
      <c r="E3" s="45" t="s">
        <v>269</v>
      </c>
      <c r="F3" s="44" t="s">
        <v>167</v>
      </c>
      <c r="G3" s="48"/>
      <c r="H3" s="48"/>
      <c r="I3" s="48"/>
      <c r="J3" s="48"/>
      <c r="L3" s="48"/>
      <c r="M3" s="19" t="s">
        <v>167</v>
      </c>
    </row>
    <row r="4" spans="1:20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7"/>
      <c r="J4" s="27"/>
      <c r="K4" s="27"/>
      <c r="L4" s="76" t="s">
        <v>160</v>
      </c>
      <c r="M4" s="27"/>
      <c r="N4" s="27"/>
      <c r="P4" s="76"/>
      <c r="Q4" s="27"/>
      <c r="R4" s="27"/>
      <c r="S4" s="27"/>
      <c r="T4" s="76" t="s">
        <v>160</v>
      </c>
    </row>
    <row r="5" spans="1:20" s="19" customFormat="1" ht="6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s="19" customFormat="1" ht="6.75" customHeight="1" x14ac:dyDescent="0.25">
      <c r="A6" s="260"/>
      <c r="B6" s="260"/>
      <c r="C6" s="261"/>
      <c r="D6" s="261"/>
      <c r="E6" s="265"/>
      <c r="F6" s="287" t="s">
        <v>177</v>
      </c>
      <c r="G6" s="52"/>
      <c r="H6" s="52"/>
      <c r="I6" s="52"/>
      <c r="J6" s="52"/>
      <c r="K6" s="52"/>
      <c r="M6" s="290" t="s">
        <v>89</v>
      </c>
      <c r="N6" s="53"/>
      <c r="O6" s="53"/>
      <c r="P6" s="53"/>
      <c r="Q6" s="290" t="s">
        <v>90</v>
      </c>
      <c r="R6" s="53"/>
      <c r="S6" s="53"/>
      <c r="T6" s="53"/>
    </row>
    <row r="7" spans="1:20" s="19" customFormat="1" ht="11.25" customHeight="1" x14ac:dyDescent="0.25">
      <c r="A7" s="260"/>
      <c r="B7" s="260"/>
      <c r="C7" s="261"/>
      <c r="D7" s="261"/>
      <c r="E7" s="265"/>
      <c r="F7" s="288"/>
      <c r="G7" s="270" t="s">
        <v>14</v>
      </c>
      <c r="H7" s="270" t="s">
        <v>15</v>
      </c>
      <c r="I7" s="270" t="s">
        <v>13</v>
      </c>
      <c r="J7" s="270" t="s">
        <v>229</v>
      </c>
      <c r="K7" s="270" t="s">
        <v>228</v>
      </c>
      <c r="L7" s="272" t="s">
        <v>230</v>
      </c>
      <c r="M7" s="288"/>
      <c r="N7" s="270" t="s">
        <v>16</v>
      </c>
      <c r="O7" s="270" t="s">
        <v>231</v>
      </c>
      <c r="P7" s="272" t="s">
        <v>197</v>
      </c>
      <c r="Q7" s="288"/>
      <c r="R7" s="270" t="s">
        <v>17</v>
      </c>
      <c r="S7" s="270" t="s">
        <v>18</v>
      </c>
      <c r="T7" s="272" t="s">
        <v>196</v>
      </c>
    </row>
    <row r="8" spans="1:20" s="19" customFormat="1" ht="28.5" customHeight="1" x14ac:dyDescent="0.25">
      <c r="A8" s="262"/>
      <c r="B8" s="262"/>
      <c r="C8" s="263"/>
      <c r="D8" s="263"/>
      <c r="E8" s="266"/>
      <c r="F8" s="289"/>
      <c r="G8" s="271" t="s">
        <v>64</v>
      </c>
      <c r="H8" s="271" t="s">
        <v>66</v>
      </c>
      <c r="I8" s="271" t="s">
        <v>65</v>
      </c>
      <c r="J8" s="271" t="s">
        <v>68</v>
      </c>
      <c r="K8" s="271"/>
      <c r="L8" s="273" t="s">
        <v>67</v>
      </c>
      <c r="M8" s="289"/>
      <c r="N8" s="271"/>
      <c r="O8" s="271"/>
      <c r="P8" s="273"/>
      <c r="Q8" s="289"/>
      <c r="R8" s="271"/>
      <c r="S8" s="271"/>
      <c r="T8" s="273"/>
    </row>
    <row r="9" spans="1:20" s="18" customFormat="1" ht="12.6" customHeight="1" x14ac:dyDescent="0.25">
      <c r="A9" s="33" t="s">
        <v>22</v>
      </c>
      <c r="B9" s="54"/>
      <c r="C9" s="55"/>
      <c r="D9" s="56">
        <v>70610.930339720711</v>
      </c>
      <c r="E9" s="57">
        <v>100</v>
      </c>
      <c r="F9" s="58">
        <v>15.205767606449871</v>
      </c>
      <c r="G9" s="58">
        <v>4.6292845453421752</v>
      </c>
      <c r="H9" s="58">
        <v>0.55362739272870909</v>
      </c>
      <c r="I9" s="58">
        <v>1.4059963758843994</v>
      </c>
      <c r="J9" s="58">
        <v>5.9872470280784711</v>
      </c>
      <c r="K9" s="58">
        <v>2.5465728986102731</v>
      </c>
      <c r="L9" s="58">
        <v>8.3039365805738022E-2</v>
      </c>
      <c r="M9" s="58">
        <v>12.801645008640049</v>
      </c>
      <c r="N9" s="58">
        <v>9.9077953436217232</v>
      </c>
      <c r="O9" s="58">
        <v>2.733556183954108</v>
      </c>
      <c r="P9" s="58">
        <v>0.160293481064296</v>
      </c>
      <c r="Q9" s="58">
        <v>71.99258738491406</v>
      </c>
      <c r="R9" s="58">
        <v>43.708487390938558</v>
      </c>
      <c r="S9" s="58">
        <v>26.568068513953992</v>
      </c>
      <c r="T9" s="58">
        <v>1.7160314800180161</v>
      </c>
    </row>
    <row r="10" spans="1:20" s="19" customFormat="1" ht="12.6" customHeight="1" x14ac:dyDescent="0.25">
      <c r="A10" s="37" t="s">
        <v>23</v>
      </c>
      <c r="B10" s="38"/>
      <c r="C10" s="36" t="str">
        <f>'C08'!C10</f>
        <v>***</v>
      </c>
      <c r="D10" s="60"/>
      <c r="E10" s="61"/>
      <c r="F10" s="58"/>
      <c r="G10" s="62"/>
      <c r="H10" s="62"/>
      <c r="I10" s="62"/>
      <c r="J10" s="62"/>
      <c r="K10" s="62"/>
      <c r="L10" s="62"/>
      <c r="M10" s="58"/>
      <c r="N10" s="62"/>
      <c r="O10" s="62"/>
      <c r="P10" s="62"/>
      <c r="Q10" s="58"/>
      <c r="R10" s="62"/>
      <c r="S10" s="62"/>
      <c r="T10" s="62"/>
    </row>
    <row r="11" spans="1:20" s="19" customFormat="1" ht="12.6" customHeight="1" x14ac:dyDescent="0.25">
      <c r="A11" s="37"/>
      <c r="B11" s="38" t="s">
        <v>24</v>
      </c>
      <c r="C11" s="36">
        <f>'C08'!C11</f>
        <v>0</v>
      </c>
      <c r="D11" s="60">
        <v>11825.7800551457</v>
      </c>
      <c r="E11" s="61">
        <v>100</v>
      </c>
      <c r="F11" s="58">
        <v>29.022312775316411</v>
      </c>
      <c r="G11" s="62">
        <v>12.327222343464134</v>
      </c>
      <c r="H11" s="62">
        <v>0.43592689791526518</v>
      </c>
      <c r="I11" s="62">
        <v>1.5746180252318809</v>
      </c>
      <c r="J11" s="62">
        <v>10.98475409997222</v>
      </c>
      <c r="K11" s="62">
        <v>3.6843951477615602</v>
      </c>
      <c r="L11" s="62">
        <v>1.5396260971397409E-2</v>
      </c>
      <c r="M11" s="58">
        <v>16.180042775596174</v>
      </c>
      <c r="N11" s="62">
        <v>14.785980762859788</v>
      </c>
      <c r="O11" s="62">
        <v>1.279833874036965</v>
      </c>
      <c r="P11" s="62">
        <v>0.11422813869940664</v>
      </c>
      <c r="Q11" s="58">
        <v>54.797644449087556</v>
      </c>
      <c r="R11" s="62">
        <v>36.181353423642832</v>
      </c>
      <c r="S11" s="62">
        <v>17.985371801311015</v>
      </c>
      <c r="T11" s="62">
        <v>0.63091922413361268</v>
      </c>
    </row>
    <row r="12" spans="1:20" s="19" customFormat="1" ht="12.6" customHeight="1" x14ac:dyDescent="0.25">
      <c r="A12" s="37"/>
      <c r="B12" s="38" t="s">
        <v>25</v>
      </c>
      <c r="C12" s="36">
        <f>'C08'!C12</f>
        <v>0</v>
      </c>
      <c r="D12" s="60">
        <v>7971.3182821129876</v>
      </c>
      <c r="E12" s="61">
        <v>100</v>
      </c>
      <c r="F12" s="58">
        <v>38.331317629269911</v>
      </c>
      <c r="G12" s="62">
        <v>15.996425763300349</v>
      </c>
      <c r="H12" s="62">
        <v>0.42747075002688478</v>
      </c>
      <c r="I12" s="62">
        <v>0.77065398415004205</v>
      </c>
      <c r="J12" s="62">
        <v>13.660866760188046</v>
      </c>
      <c r="K12" s="62">
        <v>7.3170793476727143</v>
      </c>
      <c r="L12" s="62">
        <v>0.15882102393183939</v>
      </c>
      <c r="M12" s="58">
        <v>24.710046034714555</v>
      </c>
      <c r="N12" s="62">
        <v>20.849963937844976</v>
      </c>
      <c r="O12" s="62">
        <v>3.8447329770966454</v>
      </c>
      <c r="P12" s="62">
        <v>1.5349119772891405E-2</v>
      </c>
      <c r="Q12" s="58">
        <v>36.958636336015459</v>
      </c>
      <c r="R12" s="62">
        <v>20.052987602235675</v>
      </c>
      <c r="S12" s="62">
        <v>16.31590647042341</v>
      </c>
      <c r="T12" s="62">
        <v>0.58974226335638702</v>
      </c>
    </row>
    <row r="13" spans="1:20" s="19" customFormat="1" ht="12.6" customHeight="1" x14ac:dyDescent="0.25">
      <c r="A13" s="37"/>
      <c r="B13" s="38" t="s">
        <v>26</v>
      </c>
      <c r="C13" s="36">
        <f>'C08'!C13</f>
        <v>0</v>
      </c>
      <c r="D13" s="60">
        <v>7305.4332645700024</v>
      </c>
      <c r="E13" s="61">
        <v>100</v>
      </c>
      <c r="F13" s="58">
        <v>12.943645952262127</v>
      </c>
      <c r="G13" s="62">
        <v>3.2344863058219371</v>
      </c>
      <c r="H13" s="62">
        <v>0.53516767350551475</v>
      </c>
      <c r="I13" s="62">
        <v>1.8861629521959198</v>
      </c>
      <c r="J13" s="62">
        <v>6.135879209097034</v>
      </c>
      <c r="K13" s="62">
        <v>1.1519498116417139</v>
      </c>
      <c r="L13" s="62">
        <v>0</v>
      </c>
      <c r="M13" s="58">
        <v>14.005143245735443</v>
      </c>
      <c r="N13" s="62">
        <v>11.288199498065927</v>
      </c>
      <c r="O13" s="62">
        <v>2.507355391160051</v>
      </c>
      <c r="P13" s="62">
        <v>0.20958835650945382</v>
      </c>
      <c r="Q13" s="58">
        <v>73.051210802002714</v>
      </c>
      <c r="R13" s="62">
        <v>42.338641258753185</v>
      </c>
      <c r="S13" s="62">
        <v>29.334950762127136</v>
      </c>
      <c r="T13" s="62">
        <v>1.3776187811221223</v>
      </c>
    </row>
    <row r="14" spans="1:20" s="19" customFormat="1" ht="12.6" customHeight="1" x14ac:dyDescent="0.25">
      <c r="A14" s="37"/>
      <c r="B14" s="38" t="s">
        <v>27</v>
      </c>
      <c r="C14" s="36">
        <f>'C08'!C14</f>
        <v>0</v>
      </c>
      <c r="D14" s="60">
        <v>7339.5437058502648</v>
      </c>
      <c r="E14" s="61">
        <v>100</v>
      </c>
      <c r="F14" s="58">
        <v>9.0082473417590023</v>
      </c>
      <c r="G14" s="62">
        <v>0.33745515308623547</v>
      </c>
      <c r="H14" s="62">
        <v>0.1277607439728897</v>
      </c>
      <c r="I14" s="62">
        <v>1.5664231184447044</v>
      </c>
      <c r="J14" s="62">
        <v>4.9114744169823012</v>
      </c>
      <c r="K14" s="62">
        <v>2.0359077888159716</v>
      </c>
      <c r="L14" s="62">
        <v>2.92261204569087E-2</v>
      </c>
      <c r="M14" s="58">
        <v>9.3891124711240934</v>
      </c>
      <c r="N14" s="62">
        <v>7.170076085513946</v>
      </c>
      <c r="O14" s="62">
        <v>1.90049352257491</v>
      </c>
      <c r="P14" s="62">
        <v>0.31854286303524981</v>
      </c>
      <c r="Q14" s="58">
        <v>81.602640187116549</v>
      </c>
      <c r="R14" s="62">
        <v>48.76778992892099</v>
      </c>
      <c r="S14" s="62">
        <v>31.432594411251795</v>
      </c>
      <c r="T14" s="62">
        <v>1.4022558469436348</v>
      </c>
    </row>
    <row r="15" spans="1:20" s="19" customFormat="1" ht="12.6" customHeight="1" x14ac:dyDescent="0.25">
      <c r="A15" s="37"/>
      <c r="B15" s="38" t="s">
        <v>28</v>
      </c>
      <c r="C15" s="36">
        <f>'C08'!C15</f>
        <v>0</v>
      </c>
      <c r="D15" s="60">
        <v>6151.9163621331236</v>
      </c>
      <c r="E15" s="61">
        <v>100</v>
      </c>
      <c r="F15" s="58">
        <v>4.9273884883642314</v>
      </c>
      <c r="G15" s="62">
        <v>0.11278802888726726</v>
      </c>
      <c r="H15" s="62">
        <v>0.58726170191164162</v>
      </c>
      <c r="I15" s="62">
        <v>1.1007895433575134</v>
      </c>
      <c r="J15" s="62">
        <v>1.7234347074216874</v>
      </c>
      <c r="K15" s="62">
        <v>1.3933080258700405</v>
      </c>
      <c r="L15" s="62">
        <v>9.8064809160824939E-3</v>
      </c>
      <c r="M15" s="58">
        <v>9.9964492136905534</v>
      </c>
      <c r="N15" s="62">
        <v>5.4171720278867195</v>
      </c>
      <c r="O15" s="62">
        <v>4.1528470051040989</v>
      </c>
      <c r="P15" s="62">
        <v>0.42643018069971811</v>
      </c>
      <c r="Q15" s="58">
        <v>85.076162297945444</v>
      </c>
      <c r="R15" s="62">
        <v>53.095932840907899</v>
      </c>
      <c r="S15" s="62">
        <v>29.442567775246015</v>
      </c>
      <c r="T15" s="62">
        <v>2.537661681791497</v>
      </c>
    </row>
    <row r="16" spans="1:20" s="19" customFormat="1" ht="12.6" customHeight="1" x14ac:dyDescent="0.25">
      <c r="A16" s="37"/>
      <c r="B16" s="38" t="s">
        <v>29</v>
      </c>
      <c r="C16" s="36">
        <f>'C08'!C16</f>
        <v>0</v>
      </c>
      <c r="D16" s="60">
        <v>9200.7959274540844</v>
      </c>
      <c r="E16" s="61">
        <v>100</v>
      </c>
      <c r="F16" s="58">
        <v>10.190651823749789</v>
      </c>
      <c r="G16" s="62">
        <v>1.6555465985073139</v>
      </c>
      <c r="H16" s="62">
        <v>1.7863984391427989</v>
      </c>
      <c r="I16" s="62">
        <v>1.7120318219517341</v>
      </c>
      <c r="J16" s="62">
        <v>1.9278477629389987</v>
      </c>
      <c r="K16" s="62">
        <v>2.7737224902479434</v>
      </c>
      <c r="L16" s="62">
        <v>0.33510471096101013</v>
      </c>
      <c r="M16" s="58">
        <v>8.6028633499181897</v>
      </c>
      <c r="N16" s="62">
        <v>5.6413762204939193</v>
      </c>
      <c r="O16" s="62">
        <v>2.8622939322762919</v>
      </c>
      <c r="P16" s="62">
        <v>9.9193197147961931E-2</v>
      </c>
      <c r="Q16" s="58">
        <v>81.206484826332115</v>
      </c>
      <c r="R16" s="62">
        <v>55.115980537241207</v>
      </c>
      <c r="S16" s="62">
        <v>24.351208876939403</v>
      </c>
      <c r="T16" s="62">
        <v>1.7392954121515789</v>
      </c>
    </row>
    <row r="17" spans="1:20" s="19" customFormat="1" ht="12.6" customHeight="1" x14ac:dyDescent="0.25">
      <c r="A17" s="37"/>
      <c r="B17" s="38" t="s">
        <v>30</v>
      </c>
      <c r="C17" s="36">
        <f>'C08'!C17</f>
        <v>0</v>
      </c>
      <c r="D17" s="60">
        <v>1500.8650627473314</v>
      </c>
      <c r="E17" s="61">
        <v>100</v>
      </c>
      <c r="F17" s="58">
        <v>8.3201713019705839</v>
      </c>
      <c r="G17" s="62">
        <v>1.7674232977415976</v>
      </c>
      <c r="H17" s="62">
        <v>6.0905687444761478E-2</v>
      </c>
      <c r="I17" s="62">
        <v>1.0572395094902918</v>
      </c>
      <c r="J17" s="62">
        <v>4.9508113884968621</v>
      </c>
      <c r="K17" s="62">
        <v>0.48379141879707793</v>
      </c>
      <c r="L17" s="62">
        <v>0</v>
      </c>
      <c r="M17" s="58">
        <v>11.171988928077992</v>
      </c>
      <c r="N17" s="62">
        <v>7.6415072081830671</v>
      </c>
      <c r="O17" s="62">
        <v>3.4020279549394905</v>
      </c>
      <c r="P17" s="62">
        <v>0.12845376495545655</v>
      </c>
      <c r="Q17" s="58">
        <v>80.507839769952383</v>
      </c>
      <c r="R17" s="62">
        <v>40.613656236458439</v>
      </c>
      <c r="S17" s="62">
        <v>38.813131115178884</v>
      </c>
      <c r="T17" s="62">
        <v>1.0810524183153756</v>
      </c>
    </row>
    <row r="18" spans="1:20" s="19" customFormat="1" ht="12.6" customHeight="1" x14ac:dyDescent="0.25">
      <c r="A18" s="37"/>
      <c r="B18" s="38" t="s">
        <v>31</v>
      </c>
      <c r="C18" s="36">
        <f>'C08'!C18</f>
        <v>0</v>
      </c>
      <c r="D18" s="60">
        <v>1737.1933128209207</v>
      </c>
      <c r="E18" s="61">
        <v>100</v>
      </c>
      <c r="F18" s="58">
        <v>6.923085791484759</v>
      </c>
      <c r="G18" s="62">
        <v>0.23222000530276926</v>
      </c>
      <c r="H18" s="62">
        <v>0.62183250799475298</v>
      </c>
      <c r="I18" s="62">
        <v>1.5930692946002509</v>
      </c>
      <c r="J18" s="62">
        <v>2.4588073893335975</v>
      </c>
      <c r="K18" s="62">
        <v>2.0171565942533931</v>
      </c>
      <c r="L18" s="62">
        <v>0</v>
      </c>
      <c r="M18" s="58">
        <v>10.858948563566047</v>
      </c>
      <c r="N18" s="62">
        <v>8.0871357063390708</v>
      </c>
      <c r="O18" s="62">
        <v>2.7581993357244441</v>
      </c>
      <c r="P18" s="62">
        <v>1.3613521502511206E-2</v>
      </c>
      <c r="Q18" s="58">
        <v>82.217965644948663</v>
      </c>
      <c r="R18" s="62">
        <v>46.261728286887539</v>
      </c>
      <c r="S18" s="62">
        <v>34.592132551184832</v>
      </c>
      <c r="T18" s="62">
        <v>1.364104806875742</v>
      </c>
    </row>
    <row r="19" spans="1:20" s="19" customFormat="1" ht="12.6" customHeight="1" x14ac:dyDescent="0.25">
      <c r="A19" s="37"/>
      <c r="B19" s="38" t="s">
        <v>32</v>
      </c>
      <c r="C19" s="36">
        <f>'C08'!C19</f>
        <v>0</v>
      </c>
      <c r="D19" s="60">
        <v>1660.7302977424163</v>
      </c>
      <c r="E19" s="61">
        <v>100</v>
      </c>
      <c r="F19" s="58">
        <v>6.8143924154647859</v>
      </c>
      <c r="G19" s="62">
        <v>0.70837567413093938</v>
      </c>
      <c r="H19" s="62">
        <v>0.17258927242041358</v>
      </c>
      <c r="I19" s="62">
        <v>2.1921275747033917</v>
      </c>
      <c r="J19" s="62">
        <v>3.2730951569671851</v>
      </c>
      <c r="K19" s="62">
        <v>0.46820473724285827</v>
      </c>
      <c r="L19" s="62">
        <v>0</v>
      </c>
      <c r="M19" s="58">
        <v>9.5460151972350076</v>
      </c>
      <c r="N19" s="62">
        <v>6.6236490846679308</v>
      </c>
      <c r="O19" s="62">
        <v>2.8524425962806137</v>
      </c>
      <c r="P19" s="62">
        <v>6.9923516286457973E-2</v>
      </c>
      <c r="Q19" s="58">
        <v>83.639592387300254</v>
      </c>
      <c r="R19" s="62">
        <v>42.896811113361508</v>
      </c>
      <c r="S19" s="62">
        <v>38.987379532640034</v>
      </c>
      <c r="T19" s="62">
        <v>1.755401741298205</v>
      </c>
    </row>
    <row r="20" spans="1:20" s="19" customFormat="1" ht="12.6" customHeight="1" x14ac:dyDescent="0.25">
      <c r="A20" s="37"/>
      <c r="B20" s="38" t="s">
        <v>33</v>
      </c>
      <c r="C20" s="36">
        <f>'C08'!C20</f>
        <v>0</v>
      </c>
      <c r="D20" s="60">
        <v>3032.2839786778486</v>
      </c>
      <c r="E20" s="61">
        <v>100</v>
      </c>
      <c r="F20" s="58">
        <v>3.4478565265061993</v>
      </c>
      <c r="G20" s="62">
        <v>7.050873571424579E-2</v>
      </c>
      <c r="H20" s="62">
        <v>8.5439408385515808E-2</v>
      </c>
      <c r="I20" s="62">
        <v>1.1030459175646647</v>
      </c>
      <c r="J20" s="62">
        <v>2.1888624648417694</v>
      </c>
      <c r="K20" s="62">
        <v>0</v>
      </c>
      <c r="L20" s="62">
        <v>0</v>
      </c>
      <c r="M20" s="58">
        <v>7.4566209284075446</v>
      </c>
      <c r="N20" s="62">
        <v>3.8542110420492741</v>
      </c>
      <c r="O20" s="62">
        <v>3.5419422629727717</v>
      </c>
      <c r="P20" s="62">
        <v>6.0467623385499554E-2</v>
      </c>
      <c r="Q20" s="58">
        <v>89.095522545086197</v>
      </c>
      <c r="R20" s="62">
        <v>50.719236842134642</v>
      </c>
      <c r="S20" s="62">
        <v>34.644739629694229</v>
      </c>
      <c r="T20" s="62">
        <v>3.7315460732569039</v>
      </c>
    </row>
    <row r="21" spans="1:20" s="19" customFormat="1" ht="12.6" customHeight="1" x14ac:dyDescent="0.25">
      <c r="A21" s="37"/>
      <c r="B21" s="38" t="s">
        <v>34</v>
      </c>
      <c r="C21" s="36">
        <f>'C08'!C21</f>
        <v>0</v>
      </c>
      <c r="D21" s="60">
        <v>1486.6441046240939</v>
      </c>
      <c r="E21" s="61">
        <v>100</v>
      </c>
      <c r="F21" s="58">
        <v>3.325239038165047</v>
      </c>
      <c r="G21" s="62">
        <v>6.7599727202484708E-2</v>
      </c>
      <c r="H21" s="62">
        <v>0.28164854644244958</v>
      </c>
      <c r="I21" s="62">
        <v>7.0284493549600535E-2</v>
      </c>
      <c r="J21" s="62">
        <v>2.5422368525787604</v>
      </c>
      <c r="K21" s="62">
        <v>0.3634694183917509</v>
      </c>
      <c r="L21" s="62">
        <v>0</v>
      </c>
      <c r="M21" s="58">
        <v>9.4733741330372752</v>
      </c>
      <c r="N21" s="62">
        <v>8.1756634686106189</v>
      </c>
      <c r="O21" s="62">
        <v>1.0796252021939892</v>
      </c>
      <c r="P21" s="62">
        <v>0.21808546223266836</v>
      </c>
      <c r="Q21" s="58">
        <v>87.201386828796998</v>
      </c>
      <c r="R21" s="62">
        <v>50.439705745405362</v>
      </c>
      <c r="S21" s="62">
        <v>31.261112400991681</v>
      </c>
      <c r="T21" s="62">
        <v>5.5005686823991216</v>
      </c>
    </row>
    <row r="22" spans="1:20" s="19" customFormat="1" ht="12.6" customHeight="1" x14ac:dyDescent="0.25">
      <c r="A22" s="37"/>
      <c r="B22" s="38" t="s">
        <v>35</v>
      </c>
      <c r="C22" s="36">
        <f>'C08'!C22</f>
        <v>0</v>
      </c>
      <c r="D22" s="60">
        <v>2042.8752168977219</v>
      </c>
      <c r="E22" s="61">
        <v>100</v>
      </c>
      <c r="F22" s="58">
        <v>3.8018242629028753</v>
      </c>
      <c r="G22" s="62">
        <v>2.3612355965264616E-2</v>
      </c>
      <c r="H22" s="62">
        <v>2.3612355965264616E-2</v>
      </c>
      <c r="I22" s="62">
        <v>0.58984347389851455</v>
      </c>
      <c r="J22" s="62">
        <v>2.9582266839996474</v>
      </c>
      <c r="K22" s="62">
        <v>0.16207547666408254</v>
      </c>
      <c r="L22" s="62">
        <v>4.4453916410103753E-2</v>
      </c>
      <c r="M22" s="58">
        <v>9.7626788177713681</v>
      </c>
      <c r="N22" s="62">
        <v>3.9898308812989813</v>
      </c>
      <c r="O22" s="62">
        <v>5.5036492808891744</v>
      </c>
      <c r="P22" s="62">
        <v>0.26919865558323475</v>
      </c>
      <c r="Q22" s="58">
        <v>86.435496919325786</v>
      </c>
      <c r="R22" s="62">
        <v>47.113389033554256</v>
      </c>
      <c r="S22" s="62">
        <v>34.45839649759678</v>
      </c>
      <c r="T22" s="62">
        <v>4.8637113881750018</v>
      </c>
    </row>
    <row r="23" spans="1:20" s="19" customFormat="1" ht="12.6" customHeight="1" x14ac:dyDescent="0.25">
      <c r="A23" s="37"/>
      <c r="B23" s="38" t="s">
        <v>36</v>
      </c>
      <c r="C23" s="36">
        <f>'C08'!C23</f>
        <v>0</v>
      </c>
      <c r="D23" s="60">
        <v>1413.6813776061772</v>
      </c>
      <c r="E23" s="61">
        <v>100</v>
      </c>
      <c r="F23" s="58">
        <v>4.4064473825481825</v>
      </c>
      <c r="G23" s="62">
        <v>2.3423259652374944E-2</v>
      </c>
      <c r="H23" s="62">
        <v>0.20393364661480284</v>
      </c>
      <c r="I23" s="62">
        <v>1.406784811258579</v>
      </c>
      <c r="J23" s="62">
        <v>2.5200262353250404</v>
      </c>
      <c r="K23" s="62">
        <v>0.25227942969738576</v>
      </c>
      <c r="L23" s="62">
        <v>0</v>
      </c>
      <c r="M23" s="58">
        <v>9.8651877373107819</v>
      </c>
      <c r="N23" s="62">
        <v>6.3714904577493598</v>
      </c>
      <c r="O23" s="62">
        <v>3.3608478031473661</v>
      </c>
      <c r="P23" s="62">
        <v>0.13284947641405212</v>
      </c>
      <c r="Q23" s="58">
        <v>85.728364880140802</v>
      </c>
      <c r="R23" s="62">
        <v>48.136767763963654</v>
      </c>
      <c r="S23" s="62">
        <v>33.261004231054187</v>
      </c>
      <c r="T23" s="62">
        <v>4.3305928851229254</v>
      </c>
    </row>
    <row r="24" spans="1:20" s="19" customFormat="1" ht="12.6" customHeight="1" x14ac:dyDescent="0.25">
      <c r="A24" s="37"/>
      <c r="B24" s="38" t="s">
        <v>37</v>
      </c>
      <c r="C24" s="36">
        <f>'C08'!C24</f>
        <v>0</v>
      </c>
      <c r="D24" s="60">
        <v>1960.5098101542453</v>
      </c>
      <c r="E24" s="61">
        <v>100</v>
      </c>
      <c r="F24" s="58">
        <v>4.0721625077748449</v>
      </c>
      <c r="G24" s="62">
        <v>0.35898570426148846</v>
      </c>
      <c r="H24" s="62">
        <v>0.23774863354463943</v>
      </c>
      <c r="I24" s="62">
        <v>0.65624739139495536</v>
      </c>
      <c r="J24" s="62">
        <v>2.3610346775639672</v>
      </c>
      <c r="K24" s="62">
        <v>0.22038643833435018</v>
      </c>
      <c r="L24" s="62">
        <v>0.23775966267544291</v>
      </c>
      <c r="M24" s="58">
        <v>7.1651467474737709</v>
      </c>
      <c r="N24" s="62">
        <v>3.3548689632788187</v>
      </c>
      <c r="O24" s="62">
        <v>3.6856580719700212</v>
      </c>
      <c r="P24" s="62">
        <v>0.12461971222493226</v>
      </c>
      <c r="Q24" s="58">
        <v>88.762690744751069</v>
      </c>
      <c r="R24" s="62">
        <v>58.302497912097415</v>
      </c>
      <c r="S24" s="62">
        <v>26.65922059808074</v>
      </c>
      <c r="T24" s="62">
        <v>3.8009722345732206</v>
      </c>
    </row>
    <row r="25" spans="1:20" s="19" customFormat="1" ht="12.6" customHeight="1" x14ac:dyDescent="0.25">
      <c r="A25" s="37"/>
      <c r="B25" s="38" t="s">
        <v>38</v>
      </c>
      <c r="C25" s="36">
        <f>'C08'!C25</f>
        <v>0</v>
      </c>
      <c r="D25" s="60">
        <v>576.92051217503536</v>
      </c>
      <c r="E25" s="61">
        <v>100</v>
      </c>
      <c r="F25" s="58">
        <v>5.4019043222785603</v>
      </c>
      <c r="G25" s="62">
        <v>0.36947809867258569</v>
      </c>
      <c r="H25" s="62">
        <v>0</v>
      </c>
      <c r="I25" s="62">
        <v>1.8718750080732964</v>
      </c>
      <c r="J25" s="62">
        <v>2.3422002248688569</v>
      </c>
      <c r="K25" s="62">
        <v>0.77129218813228639</v>
      </c>
      <c r="L25" s="62">
        <v>4.7058802531537158E-2</v>
      </c>
      <c r="M25" s="58">
        <v>7.9465415672471407</v>
      </c>
      <c r="N25" s="62">
        <v>5.0996131156948774</v>
      </c>
      <c r="O25" s="62">
        <v>2.7083481093770816</v>
      </c>
      <c r="P25" s="62">
        <v>0.13858034217517554</v>
      </c>
      <c r="Q25" s="58">
        <v>86.651554110473924</v>
      </c>
      <c r="R25" s="62">
        <v>48.948944252624429</v>
      </c>
      <c r="S25" s="62">
        <v>34.734473355556318</v>
      </c>
      <c r="T25" s="62">
        <v>2.9681365022931199</v>
      </c>
    </row>
    <row r="26" spans="1:20" s="19" customFormat="1" ht="12.6" customHeight="1" x14ac:dyDescent="0.25">
      <c r="A26" s="37"/>
      <c r="B26" s="38" t="s">
        <v>39</v>
      </c>
      <c r="C26" s="36">
        <f>'C08'!C26</f>
        <v>0</v>
      </c>
      <c r="D26" s="60">
        <v>983.71910907100823</v>
      </c>
      <c r="E26" s="61">
        <v>100</v>
      </c>
      <c r="F26" s="58">
        <v>5.039814177553442</v>
      </c>
      <c r="G26" s="62">
        <v>0.37679479302597002</v>
      </c>
      <c r="H26" s="62">
        <v>0</v>
      </c>
      <c r="I26" s="62">
        <v>1.0385498030514519</v>
      </c>
      <c r="J26" s="62">
        <v>2.1731784855586502</v>
      </c>
      <c r="K26" s="62">
        <v>1.4512910959173646</v>
      </c>
      <c r="L26" s="62">
        <v>0</v>
      </c>
      <c r="M26" s="58">
        <v>10.822902171654992</v>
      </c>
      <c r="N26" s="62">
        <v>6.520874618157487</v>
      </c>
      <c r="O26" s="62">
        <v>4.0370936996217548</v>
      </c>
      <c r="P26" s="62">
        <v>0.26493385387572604</v>
      </c>
      <c r="Q26" s="58">
        <v>84.137283650791929</v>
      </c>
      <c r="R26" s="62">
        <v>50.797840680101601</v>
      </c>
      <c r="S26" s="62">
        <v>31.519834219017316</v>
      </c>
      <c r="T26" s="62">
        <v>1.8196087516730488</v>
      </c>
    </row>
    <row r="27" spans="1:20" s="19" customFormat="1" ht="12.6" customHeight="1" x14ac:dyDescent="0.25">
      <c r="A27" s="37"/>
      <c r="B27" s="38" t="s">
        <v>40</v>
      </c>
      <c r="C27" s="36">
        <f>'C08'!C27</f>
        <v>0</v>
      </c>
      <c r="D27" s="60">
        <v>288.32904749095724</v>
      </c>
      <c r="E27" s="61">
        <v>100</v>
      </c>
      <c r="F27" s="58">
        <v>5.606016836790265</v>
      </c>
      <c r="G27" s="62">
        <v>0.42293649511692449</v>
      </c>
      <c r="H27" s="62">
        <v>0</v>
      </c>
      <c r="I27" s="62">
        <v>0.12442410209864938</v>
      </c>
      <c r="J27" s="62">
        <v>3.1748089416138452</v>
      </c>
      <c r="K27" s="62">
        <v>1.1939721092552336</v>
      </c>
      <c r="L27" s="62">
        <v>0.68987518870561337</v>
      </c>
      <c r="M27" s="58">
        <v>11.818995405540008</v>
      </c>
      <c r="N27" s="62">
        <v>10.717516944062297</v>
      </c>
      <c r="O27" s="62">
        <v>1.1014784614777575</v>
      </c>
      <c r="P27" s="62">
        <v>0</v>
      </c>
      <c r="Q27" s="58">
        <v>82.574987757670101</v>
      </c>
      <c r="R27" s="62">
        <v>62.358730907901673</v>
      </c>
      <c r="S27" s="62">
        <v>19.301338992168464</v>
      </c>
      <c r="T27" s="62">
        <v>0.91491785759998878</v>
      </c>
    </row>
    <row r="28" spans="1:20" s="19" customFormat="1" ht="12.6" customHeight="1" x14ac:dyDescent="0.25">
      <c r="A28" s="37"/>
      <c r="B28" s="38" t="s">
        <v>41</v>
      </c>
      <c r="C28" s="36">
        <f>'C08'!C28</f>
        <v>0</v>
      </c>
      <c r="D28" s="60">
        <v>1200.9148060511902</v>
      </c>
      <c r="E28" s="61">
        <v>100</v>
      </c>
      <c r="F28" s="58">
        <v>33.371023516183769</v>
      </c>
      <c r="G28" s="62">
        <v>4.1758364667542907</v>
      </c>
      <c r="H28" s="62">
        <v>1.020039047363688</v>
      </c>
      <c r="I28" s="62">
        <v>4.239748972692519</v>
      </c>
      <c r="J28" s="62">
        <v>17.554687638985691</v>
      </c>
      <c r="K28" s="62">
        <v>6.3807113903874182</v>
      </c>
      <c r="L28" s="62">
        <v>0</v>
      </c>
      <c r="M28" s="58">
        <v>12.175742767033817</v>
      </c>
      <c r="N28" s="62">
        <v>11.932472463086414</v>
      </c>
      <c r="O28" s="62">
        <v>0.22766393051624198</v>
      </c>
      <c r="P28" s="62">
        <v>1.5606373431171102E-2</v>
      </c>
      <c r="Q28" s="58">
        <v>54.45323371678289</v>
      </c>
      <c r="R28" s="62">
        <v>31.720732569085047</v>
      </c>
      <c r="S28" s="62">
        <v>21.933219758011699</v>
      </c>
      <c r="T28" s="62">
        <v>0.79928138968578666</v>
      </c>
    </row>
    <row r="29" spans="1:20" s="19" customFormat="1" ht="12.6" customHeight="1" x14ac:dyDescent="0.25">
      <c r="A29" s="37"/>
      <c r="B29" s="38" t="s">
        <v>42</v>
      </c>
      <c r="C29" s="36">
        <f>'C08'!C29</f>
        <v>0</v>
      </c>
      <c r="D29" s="60">
        <v>1480.5052378855992</v>
      </c>
      <c r="E29" s="61">
        <v>100</v>
      </c>
      <c r="F29" s="58">
        <v>6.8478047114534135</v>
      </c>
      <c r="G29" s="62">
        <v>0.22365479507763303</v>
      </c>
      <c r="H29" s="62">
        <v>0.70569003499813499</v>
      </c>
      <c r="I29" s="62">
        <v>1.5919248116605973</v>
      </c>
      <c r="J29" s="62">
        <v>2.8582109494292181</v>
      </c>
      <c r="K29" s="62">
        <v>1.4683241202878299</v>
      </c>
      <c r="L29" s="62">
        <v>0</v>
      </c>
      <c r="M29" s="58">
        <v>11.780505827015828</v>
      </c>
      <c r="N29" s="62">
        <v>10.374155122316091</v>
      </c>
      <c r="O29" s="62">
        <v>1.3879627169749813</v>
      </c>
      <c r="P29" s="62">
        <v>1.8387987724741602E-2</v>
      </c>
      <c r="Q29" s="58">
        <v>81.371689461531261</v>
      </c>
      <c r="R29" s="62">
        <v>50.523632816909256</v>
      </c>
      <c r="S29" s="62">
        <v>30.449166799711161</v>
      </c>
      <c r="T29" s="62">
        <v>0.39888984491105189</v>
      </c>
    </row>
    <row r="30" spans="1:20" s="19" customFormat="1" ht="12.6" customHeight="1" x14ac:dyDescent="0.25">
      <c r="A30" s="37"/>
      <c r="B30" s="38" t="s">
        <v>43</v>
      </c>
      <c r="C30" s="36">
        <f>'C08'!C30</f>
        <v>0</v>
      </c>
      <c r="D30" s="60">
        <v>956.47988177207253</v>
      </c>
      <c r="E30" s="61">
        <v>100</v>
      </c>
      <c r="F30" s="58">
        <v>4.1896617567902332</v>
      </c>
      <c r="G30" s="62">
        <v>5.4635877420566865E-2</v>
      </c>
      <c r="H30" s="62">
        <v>0.40055600888594201</v>
      </c>
      <c r="I30" s="62">
        <v>1.259017286776462</v>
      </c>
      <c r="J30" s="62">
        <v>1.2380630302443068</v>
      </c>
      <c r="K30" s="62">
        <v>1.2373895534629498</v>
      </c>
      <c r="L30" s="62">
        <v>0</v>
      </c>
      <c r="M30" s="58">
        <v>10.550094506672949</v>
      </c>
      <c r="N30" s="62">
        <v>6.8443033837008782</v>
      </c>
      <c r="O30" s="62">
        <v>3.4638264111802908</v>
      </c>
      <c r="P30" s="62">
        <v>0.24196471179182927</v>
      </c>
      <c r="Q30" s="58">
        <v>85.260243736536466</v>
      </c>
      <c r="R30" s="62">
        <v>52.066737050443102</v>
      </c>
      <c r="S30" s="62">
        <v>32.24090133082953</v>
      </c>
      <c r="T30" s="62">
        <v>0.9526053552635384</v>
      </c>
    </row>
    <row r="31" spans="1:20" s="19" customFormat="1" ht="12.6" customHeight="1" x14ac:dyDescent="0.25">
      <c r="A31" s="37"/>
      <c r="B31" s="38" t="s">
        <v>44</v>
      </c>
      <c r="C31" s="36">
        <f>'C08'!C31</f>
        <v>0</v>
      </c>
      <c r="D31" s="60">
        <v>463.98501420877085</v>
      </c>
      <c r="E31" s="61">
        <v>100</v>
      </c>
      <c r="F31" s="58">
        <v>5.9422513303622111</v>
      </c>
      <c r="G31" s="62">
        <v>7.7871077067367178E-2</v>
      </c>
      <c r="H31" s="62">
        <v>0</v>
      </c>
      <c r="I31" s="62">
        <v>0</v>
      </c>
      <c r="J31" s="62">
        <v>4.2414406503823026</v>
      </c>
      <c r="K31" s="62">
        <v>1.1908728670794264</v>
      </c>
      <c r="L31" s="62">
        <v>0.43206673583311606</v>
      </c>
      <c r="M31" s="58">
        <v>13.69566568151768</v>
      </c>
      <c r="N31" s="62">
        <v>10.691205888971657</v>
      </c>
      <c r="O31" s="62">
        <v>3.0044597925460255</v>
      </c>
      <c r="P31" s="62">
        <v>0</v>
      </c>
      <c r="Q31" s="58">
        <v>80.362082988120306</v>
      </c>
      <c r="R31" s="62">
        <v>37.723937729322252</v>
      </c>
      <c r="S31" s="62">
        <v>40.716048840184143</v>
      </c>
      <c r="T31" s="62">
        <v>1.9220964186134972</v>
      </c>
    </row>
    <row r="32" spans="1:20" s="19" customFormat="1" ht="12.6" customHeight="1" x14ac:dyDescent="0.25">
      <c r="A32" s="37"/>
      <c r="B32" s="38" t="s">
        <v>45</v>
      </c>
      <c r="C32" s="36">
        <f>'C08'!C32</f>
        <v>0</v>
      </c>
      <c r="D32" s="60">
        <v>30.505972529094453</v>
      </c>
      <c r="E32" s="61">
        <v>100</v>
      </c>
      <c r="F32" s="58">
        <v>9.9172226222589863</v>
      </c>
      <c r="G32" s="62">
        <v>2.6921866873543161</v>
      </c>
      <c r="H32" s="62">
        <v>1.3592025234147047</v>
      </c>
      <c r="I32" s="62">
        <v>0</v>
      </c>
      <c r="J32" s="62">
        <v>3.0966043057059567</v>
      </c>
      <c r="K32" s="62">
        <v>0.3480849295196593</v>
      </c>
      <c r="L32" s="62">
        <v>2.4211441762643502</v>
      </c>
      <c r="M32" s="58">
        <v>15.815489675006441</v>
      </c>
      <c r="N32" s="62">
        <v>15.815489675006441</v>
      </c>
      <c r="O32" s="62">
        <v>0</v>
      </c>
      <c r="P32" s="62">
        <v>0</v>
      </c>
      <c r="Q32" s="58">
        <v>74.267287702734535</v>
      </c>
      <c r="R32" s="62">
        <v>41.202126827569508</v>
      </c>
      <c r="S32" s="62">
        <v>32.782234958963734</v>
      </c>
      <c r="T32" s="62">
        <v>0.28292591620148227</v>
      </c>
    </row>
    <row r="33" spans="1:20" s="19" customFormat="1" ht="12.6" customHeight="1" x14ac:dyDescent="0.25">
      <c r="A33" s="37" t="s">
        <v>232</v>
      </c>
      <c r="B33" s="38"/>
      <c r="C33" s="36" t="s">
        <v>92</v>
      </c>
      <c r="D33" s="60"/>
      <c r="E33" s="61"/>
      <c r="F33" s="58"/>
      <c r="G33" s="62"/>
      <c r="H33" s="62"/>
      <c r="I33" s="62"/>
      <c r="J33" s="62"/>
      <c r="K33" s="62"/>
      <c r="L33" s="62"/>
      <c r="M33" s="58"/>
      <c r="N33" s="62"/>
      <c r="O33" s="62"/>
      <c r="P33" s="62"/>
      <c r="Q33" s="58"/>
      <c r="R33" s="62"/>
      <c r="S33" s="62"/>
      <c r="T33" s="62"/>
    </row>
    <row r="34" spans="1:20" s="19" customFormat="1" ht="12.6" customHeight="1" x14ac:dyDescent="0.25">
      <c r="A34" s="37"/>
      <c r="B34" s="38" t="s">
        <v>233</v>
      </c>
      <c r="C34" s="36"/>
      <c r="D34" s="60">
        <v>49794.787597265102</v>
      </c>
      <c r="E34" s="61">
        <v>100</v>
      </c>
      <c r="F34" s="58">
        <v>18.74720271051282</v>
      </c>
      <c r="G34" s="62">
        <v>6.3324684388506416</v>
      </c>
      <c r="H34" s="62">
        <v>0.67193962017048381</v>
      </c>
      <c r="I34" s="62">
        <v>1.4572670607287863</v>
      </c>
      <c r="J34" s="62">
        <v>6.9889202653617826</v>
      </c>
      <c r="K34" s="62">
        <v>3.2000881703204973</v>
      </c>
      <c r="L34" s="62">
        <v>9.6519155080488278E-2</v>
      </c>
      <c r="M34" s="58">
        <v>14.061496250515447</v>
      </c>
      <c r="N34" s="62">
        <v>11.273848081539924</v>
      </c>
      <c r="O34" s="62">
        <v>2.6093503555078703</v>
      </c>
      <c r="P34" s="62">
        <v>0.17829781346761259</v>
      </c>
      <c r="Q34" s="58">
        <v>67.191301038973066</v>
      </c>
      <c r="R34" s="62">
        <v>41.946349131645377</v>
      </c>
      <c r="S34" s="62">
        <v>23.957015095689897</v>
      </c>
      <c r="T34" s="62">
        <v>1.2879368116389982</v>
      </c>
    </row>
    <row r="35" spans="1:20" s="19" customFormat="1" ht="12.6" customHeight="1" x14ac:dyDescent="0.25">
      <c r="A35" s="37"/>
      <c r="B35" s="38" t="s">
        <v>234</v>
      </c>
      <c r="C35" s="36"/>
      <c r="D35" s="60">
        <v>20816.142742454544</v>
      </c>
      <c r="E35" s="61">
        <v>100</v>
      </c>
      <c r="F35" s="58">
        <v>6.7342168980355526</v>
      </c>
      <c r="G35" s="62">
        <v>0.55505805364145711</v>
      </c>
      <c r="H35" s="62">
        <v>0.27060991400982304</v>
      </c>
      <c r="I35" s="62">
        <v>1.283350557522293</v>
      </c>
      <c r="J35" s="62">
        <v>3.5911207759917874</v>
      </c>
      <c r="K35" s="62">
        <v>0.98328355394181199</v>
      </c>
      <c r="L35" s="62">
        <v>5.0794042928362086E-2</v>
      </c>
      <c r="M35" s="58">
        <v>9.7879250428671813</v>
      </c>
      <c r="N35" s="62">
        <v>6.6400282662680921</v>
      </c>
      <c r="O35" s="62">
        <v>3.0306718850879051</v>
      </c>
      <c r="P35" s="62">
        <v>0.11722489151119521</v>
      </c>
      <c r="Q35" s="58">
        <v>83.477858059096036</v>
      </c>
      <c r="R35" s="62">
        <v>47.923740015986063</v>
      </c>
      <c r="S35" s="62">
        <v>32.814031177461167</v>
      </c>
      <c r="T35" s="62">
        <v>2.7400868656481765</v>
      </c>
    </row>
    <row r="36" spans="1:20" s="19" customFormat="1" ht="12.6" customHeight="1" x14ac:dyDescent="0.25">
      <c r="A36" s="37" t="s">
        <v>46</v>
      </c>
      <c r="B36" s="38"/>
      <c r="C36" s="36" t="str">
        <f>'C08'!C36</f>
        <v>***</v>
      </c>
      <c r="D36" s="60"/>
      <c r="E36" s="61"/>
      <c r="F36" s="58"/>
      <c r="G36" s="62"/>
      <c r="H36" s="62"/>
      <c r="I36" s="62"/>
      <c r="J36" s="62"/>
      <c r="K36" s="62"/>
      <c r="L36" s="62"/>
      <c r="M36" s="58"/>
      <c r="N36" s="62"/>
      <c r="O36" s="62"/>
      <c r="P36" s="62"/>
      <c r="Q36" s="58"/>
      <c r="R36" s="62"/>
      <c r="S36" s="62"/>
      <c r="T36" s="62"/>
    </row>
    <row r="37" spans="1:20" s="19" customFormat="1" ht="12.6" customHeight="1" x14ac:dyDescent="0.25">
      <c r="A37" s="37"/>
      <c r="B37" s="38" t="s">
        <v>209</v>
      </c>
      <c r="C37" s="36">
        <f>'C08'!C37</f>
        <v>0</v>
      </c>
      <c r="D37" s="60">
        <v>34519.18782160306</v>
      </c>
      <c r="E37" s="61">
        <v>100</v>
      </c>
      <c r="F37" s="58">
        <v>11.031506117200557</v>
      </c>
      <c r="G37" s="62">
        <v>3.2002016879110871</v>
      </c>
      <c r="H37" s="62">
        <v>0.63869697907355727</v>
      </c>
      <c r="I37" s="62">
        <v>1.1029961157789721</v>
      </c>
      <c r="J37" s="62">
        <v>3.9420080222959144</v>
      </c>
      <c r="K37" s="62">
        <v>2.0318453687486189</v>
      </c>
      <c r="L37" s="62">
        <v>0.11575794339240468</v>
      </c>
      <c r="M37" s="58">
        <v>10.78128131460055</v>
      </c>
      <c r="N37" s="62">
        <v>7.4937155784559035</v>
      </c>
      <c r="O37" s="62">
        <v>3.0657114222446804</v>
      </c>
      <c r="P37" s="62">
        <v>0.22185431389996621</v>
      </c>
      <c r="Q37" s="58">
        <v>78.187212568199271</v>
      </c>
      <c r="R37" s="62">
        <v>43.460911194433301</v>
      </c>
      <c r="S37" s="62">
        <v>31.56514176655093</v>
      </c>
      <c r="T37" s="62">
        <v>3.1611596072147581</v>
      </c>
    </row>
    <row r="38" spans="1:20" s="19" customFormat="1" ht="12.6" customHeight="1" x14ac:dyDescent="0.25">
      <c r="A38" s="37"/>
      <c r="B38" s="38" t="s">
        <v>48</v>
      </c>
      <c r="C38" s="36">
        <f>'C08'!C38</f>
        <v>0</v>
      </c>
      <c r="D38" s="60">
        <v>36091.742518120955</v>
      </c>
      <c r="E38" s="61">
        <v>100</v>
      </c>
      <c r="F38" s="58">
        <v>19.198152188366031</v>
      </c>
      <c r="G38" s="62">
        <v>5.9961007788203631</v>
      </c>
      <c r="H38" s="62">
        <v>0.47226437659083836</v>
      </c>
      <c r="I38" s="62">
        <v>1.695794600043792</v>
      </c>
      <c r="J38" s="62">
        <v>7.9433728467532365</v>
      </c>
      <c r="K38" s="62">
        <v>3.0388732155405203</v>
      </c>
      <c r="L38" s="62">
        <v>5.1746370617072525E-2</v>
      </c>
      <c r="M38" s="58">
        <v>14.733979358732533</v>
      </c>
      <c r="N38" s="62">
        <v>12.216691146815901</v>
      </c>
      <c r="O38" s="62">
        <v>2.4158732942811141</v>
      </c>
      <c r="P38" s="62">
        <v>0.1014149176354894</v>
      </c>
      <c r="Q38" s="58">
        <v>66.067868452893762</v>
      </c>
      <c r="R38" s="62">
        <v>43.945276435492232</v>
      </c>
      <c r="S38" s="62">
        <v>21.788722931562766</v>
      </c>
      <c r="T38" s="62">
        <v>0.33386908583753472</v>
      </c>
    </row>
    <row r="39" spans="1:20" s="19" customFormat="1" ht="12.6" customHeight="1" x14ac:dyDescent="0.25">
      <c r="A39" s="37" t="s">
        <v>49</v>
      </c>
      <c r="B39" s="38"/>
      <c r="C39" s="36" t="str">
        <f>'C08'!C39</f>
        <v>***</v>
      </c>
      <c r="D39" s="60"/>
      <c r="E39" s="61"/>
      <c r="F39" s="58"/>
      <c r="G39" s="62"/>
      <c r="H39" s="62"/>
      <c r="I39" s="62"/>
      <c r="J39" s="62"/>
      <c r="K39" s="62"/>
      <c r="L39" s="62"/>
      <c r="M39" s="58"/>
      <c r="N39" s="62"/>
      <c r="O39" s="62"/>
      <c r="P39" s="62"/>
      <c r="Q39" s="58"/>
      <c r="R39" s="62"/>
      <c r="S39" s="62"/>
      <c r="T39" s="62"/>
    </row>
    <row r="40" spans="1:20" s="19" customFormat="1" ht="12.6" customHeight="1" x14ac:dyDescent="0.25">
      <c r="A40" s="37"/>
      <c r="B40" s="38" t="s">
        <v>107</v>
      </c>
      <c r="C40" s="36">
        <f>'C08'!C40</f>
        <v>0</v>
      </c>
      <c r="D40" s="60">
        <v>2212.2927410638945</v>
      </c>
      <c r="E40" s="61">
        <v>100</v>
      </c>
      <c r="F40" s="58">
        <v>43.154489378751208</v>
      </c>
      <c r="G40" s="62">
        <v>8.3448461328425942</v>
      </c>
      <c r="H40" s="62">
        <v>5.2284769124046081E-2</v>
      </c>
      <c r="I40" s="62">
        <v>4.2368840839175776</v>
      </c>
      <c r="J40" s="62">
        <v>29.07231226408555</v>
      </c>
      <c r="K40" s="62">
        <v>1.4334376943337188</v>
      </c>
      <c r="L40" s="62">
        <v>1.4724434447796312E-2</v>
      </c>
      <c r="M40" s="58">
        <v>30.567669242643554</v>
      </c>
      <c r="N40" s="62">
        <v>19.746051934539825</v>
      </c>
      <c r="O40" s="62">
        <v>9.9850554612344293</v>
      </c>
      <c r="P40" s="62">
        <v>0.83656184686936774</v>
      </c>
      <c r="Q40" s="58">
        <v>26.277841378605736</v>
      </c>
      <c r="R40" s="62">
        <v>14.007924390029142</v>
      </c>
      <c r="S40" s="62">
        <v>12.162081721316001</v>
      </c>
      <c r="T40" s="62">
        <v>0.1078352672605821</v>
      </c>
    </row>
    <row r="41" spans="1:20" s="19" customFormat="1" ht="12.6" customHeight="1" x14ac:dyDescent="0.25">
      <c r="A41" s="37"/>
      <c r="B41" s="38" t="s">
        <v>108</v>
      </c>
      <c r="C41" s="36">
        <f>'C08'!C41</f>
        <v>0</v>
      </c>
      <c r="D41" s="60">
        <v>1244.592128861065</v>
      </c>
      <c r="E41" s="61">
        <v>100</v>
      </c>
      <c r="F41" s="58">
        <v>27.39942173885856</v>
      </c>
      <c r="G41" s="62">
        <v>6.3964433613000269</v>
      </c>
      <c r="H41" s="62">
        <v>0.55804791427695022</v>
      </c>
      <c r="I41" s="62">
        <v>3.7704084859217937</v>
      </c>
      <c r="J41" s="62">
        <v>15.592784746324513</v>
      </c>
      <c r="K41" s="62">
        <v>1.0817372310352653</v>
      </c>
      <c r="L41" s="62">
        <v>0</v>
      </c>
      <c r="M41" s="58">
        <v>14.4911523456651</v>
      </c>
      <c r="N41" s="62">
        <v>9.7731406871688353</v>
      </c>
      <c r="O41" s="62">
        <v>4.6920908763713429</v>
      </c>
      <c r="P41" s="62">
        <v>2.5920782124908628E-2</v>
      </c>
      <c r="Q41" s="58">
        <v>58.109425915476301</v>
      </c>
      <c r="R41" s="62">
        <v>45.122986753992954</v>
      </c>
      <c r="S41" s="62">
        <v>12.033155688463253</v>
      </c>
      <c r="T41" s="62">
        <v>0.95328347302034799</v>
      </c>
    </row>
    <row r="42" spans="1:20" s="19" customFormat="1" ht="12.6" customHeight="1" x14ac:dyDescent="0.25">
      <c r="A42" s="37"/>
      <c r="B42" s="38" t="s">
        <v>109</v>
      </c>
      <c r="C42" s="36">
        <f>'C08'!C42</f>
        <v>0</v>
      </c>
      <c r="D42" s="60">
        <v>9701.8897503673998</v>
      </c>
      <c r="E42" s="61">
        <v>100</v>
      </c>
      <c r="F42" s="58">
        <v>17.747568476767611</v>
      </c>
      <c r="G42" s="62">
        <v>6.1714653899534957</v>
      </c>
      <c r="H42" s="62">
        <v>0.7754926993765302</v>
      </c>
      <c r="I42" s="62">
        <v>2.6730175990491092</v>
      </c>
      <c r="J42" s="62">
        <v>5.7204331393103693</v>
      </c>
      <c r="K42" s="62">
        <v>2.3561925019195677</v>
      </c>
      <c r="L42" s="62">
        <v>5.0967147158514754E-2</v>
      </c>
      <c r="M42" s="58">
        <v>9.3151943553043388</v>
      </c>
      <c r="N42" s="62">
        <v>7.6107166495777392</v>
      </c>
      <c r="O42" s="62">
        <v>1.6135478853302927</v>
      </c>
      <c r="P42" s="62">
        <v>9.0929820396313574E-2</v>
      </c>
      <c r="Q42" s="58">
        <v>72.937237167926426</v>
      </c>
      <c r="R42" s="62">
        <v>52.650849184804748</v>
      </c>
      <c r="S42" s="62">
        <v>18.825592347442591</v>
      </c>
      <c r="T42" s="62">
        <v>1.4607956356791818</v>
      </c>
    </row>
    <row r="43" spans="1:20" s="19" customFormat="1" ht="12.6" customHeight="1" x14ac:dyDescent="0.25">
      <c r="A43" s="37"/>
      <c r="B43" s="38" t="s">
        <v>110</v>
      </c>
      <c r="C43" s="36">
        <f>'C08'!C43</f>
        <v>0</v>
      </c>
      <c r="D43" s="60">
        <v>12380.7777044087</v>
      </c>
      <c r="E43" s="61">
        <v>100</v>
      </c>
      <c r="F43" s="58">
        <v>12.864225621645968</v>
      </c>
      <c r="G43" s="62">
        <v>4.9615180542504183</v>
      </c>
      <c r="H43" s="62">
        <v>0.69386392282406983</v>
      </c>
      <c r="I43" s="62">
        <v>1.3818451068706747</v>
      </c>
      <c r="J43" s="62">
        <v>2.8186088805987546</v>
      </c>
      <c r="K43" s="62">
        <v>2.9934369023152776</v>
      </c>
      <c r="L43" s="62">
        <v>1.4952754786764074E-2</v>
      </c>
      <c r="M43" s="58">
        <v>7.3100271630087272</v>
      </c>
      <c r="N43" s="62">
        <v>5.8570618901615257</v>
      </c>
      <c r="O43" s="62">
        <v>1.2961308058470258</v>
      </c>
      <c r="P43" s="62">
        <v>0.15683446700017087</v>
      </c>
      <c r="Q43" s="58">
        <v>79.825747215345217</v>
      </c>
      <c r="R43" s="62">
        <v>44.809307455420601</v>
      </c>
      <c r="S43" s="62">
        <v>33.270384393812925</v>
      </c>
      <c r="T43" s="62">
        <v>1.7460553661114206</v>
      </c>
    </row>
    <row r="44" spans="1:20" s="19" customFormat="1" ht="12.6" customHeight="1" x14ac:dyDescent="0.25">
      <c r="A44" s="37"/>
      <c r="B44" s="38" t="s">
        <v>111</v>
      </c>
      <c r="C44" s="36">
        <f>'C08'!C44</f>
        <v>0</v>
      </c>
      <c r="D44" s="60">
        <v>15486.21561516228</v>
      </c>
      <c r="E44" s="61">
        <v>100</v>
      </c>
      <c r="F44" s="58">
        <v>11.010596626172028</v>
      </c>
      <c r="G44" s="62">
        <v>4.1575130268658578</v>
      </c>
      <c r="H44" s="62">
        <v>0.7220089977000882</v>
      </c>
      <c r="I44" s="62">
        <v>0.4380709644633376</v>
      </c>
      <c r="J44" s="62">
        <v>3.9785903827606974</v>
      </c>
      <c r="K44" s="62">
        <v>1.6824567283771712</v>
      </c>
      <c r="L44" s="62">
        <v>3.1956526004840717E-2</v>
      </c>
      <c r="M44" s="58">
        <v>7.7829252796572268</v>
      </c>
      <c r="N44" s="62">
        <v>5.9892870059308949</v>
      </c>
      <c r="O44" s="62">
        <v>1.5858656739535053</v>
      </c>
      <c r="P44" s="62">
        <v>0.20777259977282656</v>
      </c>
      <c r="Q44" s="58">
        <v>81.206478094171075</v>
      </c>
      <c r="R44" s="62">
        <v>46.674107673340885</v>
      </c>
      <c r="S44" s="62">
        <v>33.457093810642483</v>
      </c>
      <c r="T44" s="62">
        <v>1.075276610187347</v>
      </c>
    </row>
    <row r="45" spans="1:20" s="19" customFormat="1" ht="12.6" customHeight="1" x14ac:dyDescent="0.25">
      <c r="A45" s="37"/>
      <c r="B45" s="38" t="s">
        <v>112</v>
      </c>
      <c r="C45" s="36">
        <f>'C08'!C45</f>
        <v>0</v>
      </c>
      <c r="D45" s="60">
        <v>12901.869440115805</v>
      </c>
      <c r="E45" s="61">
        <v>100</v>
      </c>
      <c r="F45" s="58">
        <v>11.818980580064686</v>
      </c>
      <c r="G45" s="62">
        <v>3.8004838546379687</v>
      </c>
      <c r="H45" s="62">
        <v>0.25740741533394851</v>
      </c>
      <c r="I45" s="62">
        <v>1.1597856451114354</v>
      </c>
      <c r="J45" s="62">
        <v>4.430999892885894</v>
      </c>
      <c r="K45" s="62">
        <v>1.9978191701659158</v>
      </c>
      <c r="L45" s="62">
        <v>0.17248460192953902</v>
      </c>
      <c r="M45" s="58">
        <v>9.6406120272558393</v>
      </c>
      <c r="N45" s="62">
        <v>7.6781255434813023</v>
      </c>
      <c r="O45" s="62">
        <v>1.8231047661497182</v>
      </c>
      <c r="P45" s="62">
        <v>0.13938171762478924</v>
      </c>
      <c r="Q45" s="58">
        <v>78.540407392677579</v>
      </c>
      <c r="R45" s="62">
        <v>44.680894516985063</v>
      </c>
      <c r="S45" s="62">
        <v>31.074460784297369</v>
      </c>
      <c r="T45" s="62">
        <v>2.7850520913977976</v>
      </c>
    </row>
    <row r="46" spans="1:20" s="19" customFormat="1" ht="12.6" customHeight="1" x14ac:dyDescent="0.25">
      <c r="A46" s="37"/>
      <c r="B46" s="38" t="s">
        <v>113</v>
      </c>
      <c r="C46" s="36">
        <f>'C08'!C46</f>
        <v>0</v>
      </c>
      <c r="D46" s="60">
        <v>5681.627942295253</v>
      </c>
      <c r="E46" s="61">
        <v>100</v>
      </c>
      <c r="F46" s="58">
        <v>12.848816415228208</v>
      </c>
      <c r="G46" s="62">
        <v>2.9136039346904838</v>
      </c>
      <c r="H46" s="62">
        <v>0.91250520455622652</v>
      </c>
      <c r="I46" s="62">
        <v>1.2828198282143191</v>
      </c>
      <c r="J46" s="62">
        <v>5.1559862055780785</v>
      </c>
      <c r="K46" s="62">
        <v>2.559599711029048</v>
      </c>
      <c r="L46" s="62">
        <v>2.4301531160073706E-2</v>
      </c>
      <c r="M46" s="58">
        <v>14.499600009009187</v>
      </c>
      <c r="N46" s="62">
        <v>10.850433827778788</v>
      </c>
      <c r="O46" s="62">
        <v>3.6139465006998854</v>
      </c>
      <c r="P46" s="62">
        <v>3.5219680530485076E-2</v>
      </c>
      <c r="Q46" s="58">
        <v>72.651583575764676</v>
      </c>
      <c r="R46" s="62">
        <v>44.388843646425592</v>
      </c>
      <c r="S46" s="62">
        <v>24.819747875789123</v>
      </c>
      <c r="T46" s="62">
        <v>3.4429920535500598</v>
      </c>
    </row>
    <row r="47" spans="1:20" s="19" customFormat="1" ht="12.6" customHeight="1" x14ac:dyDescent="0.25">
      <c r="A47" s="37"/>
      <c r="B47" s="38" t="s">
        <v>114</v>
      </c>
      <c r="C47" s="36"/>
      <c r="D47" s="60">
        <v>11001.665017446103</v>
      </c>
      <c r="E47" s="61">
        <v>100</v>
      </c>
      <c r="F47" s="58">
        <v>19.693950511617633</v>
      </c>
      <c r="G47" s="62">
        <v>4.4704188671724099</v>
      </c>
      <c r="H47" s="62">
        <v>0.22549999445292387</v>
      </c>
      <c r="I47" s="62">
        <v>1.1939333734444157</v>
      </c>
      <c r="J47" s="62">
        <v>9.1413883783738239</v>
      </c>
      <c r="K47" s="62">
        <v>4.454289080911578</v>
      </c>
      <c r="L47" s="62">
        <v>0.20842081726254852</v>
      </c>
      <c r="M47" s="58">
        <v>28.187164152594111</v>
      </c>
      <c r="N47" s="62">
        <v>22.172645568345722</v>
      </c>
      <c r="O47" s="62">
        <v>5.8876681091193603</v>
      </c>
      <c r="P47" s="62">
        <v>0.12685047512887243</v>
      </c>
      <c r="Q47" s="58">
        <v>52.118885335789948</v>
      </c>
      <c r="R47" s="62">
        <v>34.729974825053191</v>
      </c>
      <c r="S47" s="62">
        <v>16.315489198241362</v>
      </c>
      <c r="T47" s="62">
        <v>1.0734213124946081</v>
      </c>
    </row>
    <row r="48" spans="1:20" s="19" customFormat="1" ht="12.6" customHeight="1" x14ac:dyDescent="0.25">
      <c r="A48" s="37" t="s">
        <v>50</v>
      </c>
      <c r="B48" s="38"/>
      <c r="C48" s="36" t="str">
        <f>'C08'!C49</f>
        <v>***</v>
      </c>
      <c r="D48" s="60"/>
      <c r="E48" s="61"/>
      <c r="F48" s="58"/>
      <c r="G48" s="62"/>
      <c r="H48" s="62"/>
      <c r="I48" s="62"/>
      <c r="J48" s="62"/>
      <c r="K48" s="62"/>
      <c r="L48" s="62"/>
      <c r="M48" s="58"/>
      <c r="N48" s="62"/>
      <c r="O48" s="62"/>
      <c r="P48" s="62"/>
      <c r="Q48" s="58"/>
      <c r="R48" s="62"/>
      <c r="S48" s="62"/>
      <c r="T48" s="62"/>
    </row>
    <row r="49" spans="1:20" s="19" customFormat="1" ht="12.6" customHeight="1" x14ac:dyDescent="0.25">
      <c r="A49" s="37"/>
      <c r="B49" s="38" t="s">
        <v>3</v>
      </c>
      <c r="C49" s="36">
        <f>'C08'!C50</f>
        <v>0</v>
      </c>
      <c r="D49" s="60">
        <v>3786.5522457076227</v>
      </c>
      <c r="E49" s="61">
        <v>100</v>
      </c>
      <c r="F49" s="58">
        <v>12.806225732738154</v>
      </c>
      <c r="G49" s="62">
        <v>1.5882782802111917</v>
      </c>
      <c r="H49" s="62">
        <v>0.47087836804188404</v>
      </c>
      <c r="I49" s="62">
        <v>0.49735160748450258</v>
      </c>
      <c r="J49" s="62">
        <v>6.6368555192457892</v>
      </c>
      <c r="K49" s="62">
        <v>3.5451526972035503</v>
      </c>
      <c r="L49" s="62">
        <v>6.770926055124156E-2</v>
      </c>
      <c r="M49" s="58">
        <v>36.221089252126596</v>
      </c>
      <c r="N49" s="62">
        <v>26.830569538924529</v>
      </c>
      <c r="O49" s="62">
        <v>9.1894853548837894</v>
      </c>
      <c r="P49" s="62">
        <v>0.20103435831843305</v>
      </c>
      <c r="Q49" s="58">
        <v>50.97268501513458</v>
      </c>
      <c r="R49" s="62">
        <v>40.0020143642001</v>
      </c>
      <c r="S49" s="62">
        <v>9.2560611660228798</v>
      </c>
      <c r="T49" s="62">
        <v>1.7146094849117695</v>
      </c>
    </row>
    <row r="50" spans="1:20" s="19" customFormat="1" ht="12.6" customHeight="1" x14ac:dyDescent="0.25">
      <c r="A50" s="37"/>
      <c r="B50" s="38" t="s">
        <v>115</v>
      </c>
      <c r="C50" s="36">
        <f>'C08'!C51</f>
        <v>0</v>
      </c>
      <c r="D50" s="60">
        <v>4923.4410037925854</v>
      </c>
      <c r="E50" s="61">
        <v>100</v>
      </c>
      <c r="F50" s="58">
        <v>10.327876775913063</v>
      </c>
      <c r="G50" s="62">
        <v>0.73230254615608614</v>
      </c>
      <c r="H50" s="62">
        <v>0.29815278295478276</v>
      </c>
      <c r="I50" s="62">
        <v>0.9282939006442068</v>
      </c>
      <c r="J50" s="62">
        <v>5.831226301792781</v>
      </c>
      <c r="K50" s="62">
        <v>2.4048082518060343</v>
      </c>
      <c r="L50" s="62">
        <v>0.1330929925591737</v>
      </c>
      <c r="M50" s="58">
        <v>15.628746602837333</v>
      </c>
      <c r="N50" s="62">
        <v>10.587132222482156</v>
      </c>
      <c r="O50" s="62">
        <v>4.9483805195690991</v>
      </c>
      <c r="P50" s="62">
        <v>9.3233860786070211E-2</v>
      </c>
      <c r="Q50" s="58">
        <v>74.04337662124874</v>
      </c>
      <c r="R50" s="62">
        <v>51.973729477979624</v>
      </c>
      <c r="S50" s="62">
        <v>17.546236692633226</v>
      </c>
      <c r="T50" s="62">
        <v>4.5234104506357538</v>
      </c>
    </row>
    <row r="51" spans="1:20" s="19" customFormat="1" ht="12.6" customHeight="1" x14ac:dyDescent="0.25">
      <c r="A51" s="37"/>
      <c r="B51" s="38" t="s">
        <v>116</v>
      </c>
      <c r="C51" s="36">
        <f>'C08'!C52</f>
        <v>0</v>
      </c>
      <c r="D51" s="60">
        <v>18441.554918269685</v>
      </c>
      <c r="E51" s="61">
        <v>100</v>
      </c>
      <c r="F51" s="58">
        <v>13.35275446016959</v>
      </c>
      <c r="G51" s="62">
        <v>3.0206477067054678</v>
      </c>
      <c r="H51" s="62">
        <v>8.098829155701015E-2</v>
      </c>
      <c r="I51" s="62">
        <v>1.4166617144811253</v>
      </c>
      <c r="J51" s="62">
        <v>6.9913125920796535</v>
      </c>
      <c r="K51" s="62">
        <v>1.7034679472083436</v>
      </c>
      <c r="L51" s="62">
        <v>0.13967620813801535</v>
      </c>
      <c r="M51" s="58">
        <v>11.748444882218042</v>
      </c>
      <c r="N51" s="62">
        <v>8.5181983436603499</v>
      </c>
      <c r="O51" s="62">
        <v>2.9604671179775783</v>
      </c>
      <c r="P51" s="62">
        <v>0.26977942058010601</v>
      </c>
      <c r="Q51" s="58">
        <v>74.898800657611005</v>
      </c>
      <c r="R51" s="62">
        <v>48.329921145163716</v>
      </c>
      <c r="S51" s="62">
        <v>23.854895653537927</v>
      </c>
      <c r="T51" s="62">
        <v>2.713983858909315</v>
      </c>
    </row>
    <row r="52" spans="1:20" s="19" customFormat="1" ht="12.6" customHeight="1" x14ac:dyDescent="0.25">
      <c r="A52" s="37"/>
      <c r="B52" s="38" t="s">
        <v>51</v>
      </c>
      <c r="C52" s="36">
        <f>'C08'!C53</f>
        <v>0</v>
      </c>
      <c r="D52" s="60">
        <v>7922.0578426915808</v>
      </c>
      <c r="E52" s="61">
        <v>100</v>
      </c>
      <c r="F52" s="58">
        <v>13.332429985384181</v>
      </c>
      <c r="G52" s="62">
        <v>3.9925513594819795</v>
      </c>
      <c r="H52" s="62">
        <v>9.809816477725794E-2</v>
      </c>
      <c r="I52" s="62">
        <v>1.3510229448078348</v>
      </c>
      <c r="J52" s="62">
        <v>5.5194530583113766</v>
      </c>
      <c r="K52" s="62">
        <v>2.1900230249130441</v>
      </c>
      <c r="L52" s="62">
        <v>0.18128143309270958</v>
      </c>
      <c r="M52" s="58">
        <v>12.233716978665427</v>
      </c>
      <c r="N52" s="62">
        <v>9.0536137568071222</v>
      </c>
      <c r="O52" s="62">
        <v>2.8398066989576494</v>
      </c>
      <c r="P52" s="62">
        <v>0.3402965229006375</v>
      </c>
      <c r="Q52" s="58">
        <v>74.433853035950278</v>
      </c>
      <c r="R52" s="62">
        <v>42.323148743802889</v>
      </c>
      <c r="S52" s="62">
        <v>30.395756870871733</v>
      </c>
      <c r="T52" s="62">
        <v>1.7149474212762146</v>
      </c>
    </row>
    <row r="53" spans="1:20" s="19" customFormat="1" ht="12.6" customHeight="1" x14ac:dyDescent="0.25">
      <c r="A53" s="37"/>
      <c r="B53" s="38" t="s">
        <v>52</v>
      </c>
      <c r="C53" s="36">
        <f>'C08'!C54</f>
        <v>0</v>
      </c>
      <c r="D53" s="60">
        <v>26294.604984239362</v>
      </c>
      <c r="E53" s="61">
        <v>100</v>
      </c>
      <c r="F53" s="58">
        <v>16.717873242458353</v>
      </c>
      <c r="G53" s="62">
        <v>5.8962648594807998</v>
      </c>
      <c r="H53" s="62">
        <v>0.92173120076147752</v>
      </c>
      <c r="I53" s="62">
        <v>1.6364050240573194</v>
      </c>
      <c r="J53" s="62">
        <v>5.4324373479945427</v>
      </c>
      <c r="K53" s="62">
        <v>2.7981474827903532</v>
      </c>
      <c r="L53" s="62">
        <v>3.288732737396205E-2</v>
      </c>
      <c r="M53" s="58">
        <v>10.969583186703302</v>
      </c>
      <c r="N53" s="62">
        <v>9.2331805634354307</v>
      </c>
      <c r="O53" s="62">
        <v>1.6455145871965382</v>
      </c>
      <c r="P53" s="62">
        <v>9.0888036071309949E-2</v>
      </c>
      <c r="Q53" s="58">
        <v>72.312543570840333</v>
      </c>
      <c r="R53" s="62">
        <v>43.926496932086401</v>
      </c>
      <c r="S53" s="62">
        <v>27.534959969511053</v>
      </c>
      <c r="T53" s="62">
        <v>0.85108666924187759</v>
      </c>
    </row>
    <row r="54" spans="1:20" s="19" customFormat="1" ht="12.6" customHeight="1" x14ac:dyDescent="0.25">
      <c r="A54" s="37"/>
      <c r="B54" s="38" t="s">
        <v>4</v>
      </c>
      <c r="C54" s="36">
        <f>'C08'!C55</f>
        <v>0</v>
      </c>
      <c r="D54" s="60">
        <v>9180.3551914529417</v>
      </c>
      <c r="E54" s="61">
        <v>100</v>
      </c>
      <c r="F54" s="58">
        <v>19.883893100173388</v>
      </c>
      <c r="G54" s="62">
        <v>8.1569744499391099</v>
      </c>
      <c r="H54" s="62">
        <v>1.0041469927056705</v>
      </c>
      <c r="I54" s="62">
        <v>1.4125938876222459</v>
      </c>
      <c r="J54" s="62">
        <v>5.7932252263273698</v>
      </c>
      <c r="K54" s="62">
        <v>3.5087721432443999</v>
      </c>
      <c r="L54" s="62">
        <v>8.180400334578555E-3</v>
      </c>
      <c r="M54" s="58">
        <v>9.4147028445215604</v>
      </c>
      <c r="N54" s="62">
        <v>7.9402630573961641</v>
      </c>
      <c r="O54" s="62">
        <v>1.4703715821756576</v>
      </c>
      <c r="P54" s="62">
        <v>4.0682049497357594E-3</v>
      </c>
      <c r="Q54" s="58">
        <v>70.701404055303854</v>
      </c>
      <c r="R54" s="62">
        <v>32.029479696785515</v>
      </c>
      <c r="S54" s="62">
        <v>37.975612129547756</v>
      </c>
      <c r="T54" s="62">
        <v>0.6963122289709891</v>
      </c>
    </row>
    <row r="55" spans="1:20" s="19" customFormat="1" ht="12.6" customHeight="1" x14ac:dyDescent="0.25">
      <c r="A55" s="37"/>
      <c r="B55" s="38" t="s">
        <v>117</v>
      </c>
      <c r="C55" s="36">
        <f>'C08'!C56</f>
        <v>0</v>
      </c>
      <c r="D55" s="60">
        <v>62.364153567023408</v>
      </c>
      <c r="E55" s="61">
        <v>100</v>
      </c>
      <c r="F55" s="58">
        <v>5.7140495284980739</v>
      </c>
      <c r="G55" s="62">
        <v>0</v>
      </c>
      <c r="H55" s="62">
        <v>1.8524878685875534</v>
      </c>
      <c r="I55" s="62">
        <v>0</v>
      </c>
      <c r="J55" s="62">
        <v>3.8615616599105205</v>
      </c>
      <c r="K55" s="62">
        <v>0</v>
      </c>
      <c r="L55" s="62">
        <v>0</v>
      </c>
      <c r="M55" s="58">
        <v>22.269641147593809</v>
      </c>
      <c r="N55" s="62">
        <v>22.269641147593809</v>
      </c>
      <c r="O55" s="62">
        <v>0</v>
      </c>
      <c r="P55" s="62">
        <v>0</v>
      </c>
      <c r="Q55" s="58">
        <v>72.016309323908118</v>
      </c>
      <c r="R55" s="62">
        <v>52.922027476545338</v>
      </c>
      <c r="S55" s="62">
        <v>19.094281847362709</v>
      </c>
      <c r="T55" s="62">
        <v>0</v>
      </c>
    </row>
    <row r="56" spans="1:20" s="85" customFormat="1" ht="6.75" customHeight="1" x14ac:dyDescent="0.25">
      <c r="A56" s="39"/>
      <c r="B56" s="40"/>
      <c r="C56" s="82">
        <f>'C08'!C48</f>
        <v>0</v>
      </c>
      <c r="D56" s="94"/>
      <c r="E56" s="83"/>
      <c r="F56" s="95"/>
      <c r="G56" s="84"/>
      <c r="H56" s="84"/>
      <c r="I56" s="84"/>
      <c r="J56" s="84"/>
      <c r="K56" s="84"/>
      <c r="L56" s="84"/>
      <c r="M56" s="95"/>
      <c r="N56" s="84"/>
      <c r="O56" s="84"/>
      <c r="P56" s="84"/>
      <c r="Q56" s="95"/>
      <c r="R56" s="84"/>
      <c r="S56" s="84"/>
      <c r="T56" s="84"/>
    </row>
    <row r="57" spans="1:20" s="19" customFormat="1" ht="14.1" customHeight="1" x14ac:dyDescent="0.25">
      <c r="A57" s="37" t="s">
        <v>53</v>
      </c>
      <c r="B57" s="38"/>
      <c r="C57" s="36" t="str">
        <f>'C08'!C57</f>
        <v>***</v>
      </c>
      <c r="D57" s="60"/>
      <c r="E57" s="61"/>
      <c r="F57" s="58"/>
      <c r="G57" s="62"/>
      <c r="H57" s="62"/>
      <c r="I57" s="62"/>
      <c r="J57" s="62"/>
      <c r="K57" s="62"/>
      <c r="L57" s="62"/>
      <c r="M57" s="58"/>
      <c r="N57" s="62"/>
      <c r="O57" s="62"/>
      <c r="P57" s="62"/>
      <c r="Q57" s="58"/>
      <c r="R57" s="62"/>
      <c r="S57" s="62"/>
      <c r="T57" s="62"/>
    </row>
    <row r="58" spans="1:20" s="19" customFormat="1" ht="14.1" customHeight="1" x14ac:dyDescent="0.25">
      <c r="A58" s="37"/>
      <c r="B58" s="38" t="s">
        <v>54</v>
      </c>
      <c r="C58" s="36">
        <f>'C08'!C58</f>
        <v>0</v>
      </c>
      <c r="D58" s="60">
        <v>1878.5857928453752</v>
      </c>
      <c r="E58" s="61">
        <v>100</v>
      </c>
      <c r="F58" s="58">
        <v>1.6782607396735818</v>
      </c>
      <c r="G58" s="62">
        <v>0.44746433699650118</v>
      </c>
      <c r="H58" s="62">
        <v>0</v>
      </c>
      <c r="I58" s="62">
        <v>0.20794301215249997</v>
      </c>
      <c r="J58" s="62">
        <v>0.79989343927359913</v>
      </c>
      <c r="K58" s="62">
        <v>0.17461837192353721</v>
      </c>
      <c r="L58" s="62">
        <v>4.8341579327443956E-2</v>
      </c>
      <c r="M58" s="58">
        <v>8.2344730490536033</v>
      </c>
      <c r="N58" s="62">
        <v>3.9466849105180701</v>
      </c>
      <c r="O58" s="62">
        <v>3.0905488593548767</v>
      </c>
      <c r="P58" s="62">
        <v>1.1972392791806492</v>
      </c>
      <c r="Q58" s="58">
        <v>90.087266211272691</v>
      </c>
      <c r="R58" s="62">
        <v>52.063952711236745</v>
      </c>
      <c r="S58" s="62">
        <v>20.519362764826674</v>
      </c>
      <c r="T58" s="62">
        <v>17.503950735209376</v>
      </c>
    </row>
    <row r="59" spans="1:20" s="19" customFormat="1" ht="14.1" customHeight="1" x14ac:dyDescent="0.25">
      <c r="A59" s="37"/>
      <c r="B59" s="38" t="s">
        <v>55</v>
      </c>
      <c r="C59" s="36"/>
      <c r="D59" s="60">
        <v>15119.962857395551</v>
      </c>
      <c r="E59" s="61">
        <v>100</v>
      </c>
      <c r="F59" s="58">
        <v>8.3469472345918625</v>
      </c>
      <c r="G59" s="62">
        <v>2.4554936919707027</v>
      </c>
      <c r="H59" s="62">
        <v>0.22615124921481325</v>
      </c>
      <c r="I59" s="62">
        <v>1.021876064693271</v>
      </c>
      <c r="J59" s="62">
        <v>2.3725512946916734</v>
      </c>
      <c r="K59" s="62">
        <v>2.0854042084325037</v>
      </c>
      <c r="L59" s="62">
        <v>0.18547072558889011</v>
      </c>
      <c r="M59" s="58">
        <v>4.4181409130044411</v>
      </c>
      <c r="N59" s="62">
        <v>3.459094697589812</v>
      </c>
      <c r="O59" s="62">
        <v>0.89881642670794248</v>
      </c>
      <c r="P59" s="62">
        <v>6.0229788706687229E-2</v>
      </c>
      <c r="Q59" s="58">
        <v>87.234911852402902</v>
      </c>
      <c r="R59" s="62">
        <v>49.194075785239349</v>
      </c>
      <c r="S59" s="62">
        <v>35.383006096145493</v>
      </c>
      <c r="T59" s="62">
        <v>2.6578299710166817</v>
      </c>
    </row>
    <row r="60" spans="1:20" s="19" customFormat="1" ht="14.1" customHeight="1" x14ac:dyDescent="0.25">
      <c r="A60" s="37"/>
      <c r="B60" s="38" t="s">
        <v>211</v>
      </c>
      <c r="C60" s="36"/>
      <c r="D60" s="60">
        <v>3209.3124900779635</v>
      </c>
      <c r="E60" s="61">
        <v>100</v>
      </c>
      <c r="F60" s="58">
        <v>11.519396483557937</v>
      </c>
      <c r="G60" s="62">
        <v>3.9573492075435652</v>
      </c>
      <c r="H60" s="62">
        <v>0.15980667642988541</v>
      </c>
      <c r="I60" s="62">
        <v>0.5268563589568751</v>
      </c>
      <c r="J60" s="62">
        <v>5.7913487432507234</v>
      </c>
      <c r="K60" s="62">
        <v>1.0420623312941488</v>
      </c>
      <c r="L60" s="62">
        <v>4.1973166082709477E-2</v>
      </c>
      <c r="M60" s="58">
        <v>8.0536810974885142</v>
      </c>
      <c r="N60" s="62">
        <v>6.4384334035908912</v>
      </c>
      <c r="O60" s="62">
        <v>0.8997326064215555</v>
      </c>
      <c r="P60" s="62">
        <v>0.71551508747606596</v>
      </c>
      <c r="Q60" s="58">
        <v>80.426922418953851</v>
      </c>
      <c r="R60" s="62">
        <v>43.160241624169842</v>
      </c>
      <c r="S60" s="62">
        <v>34.054367830300905</v>
      </c>
      <c r="T60" s="62">
        <v>3.2123129644826274</v>
      </c>
    </row>
    <row r="61" spans="1:20" s="19" customFormat="1" ht="14.1" customHeight="1" x14ac:dyDescent="0.25">
      <c r="A61" s="37"/>
      <c r="B61" s="38" t="s">
        <v>212</v>
      </c>
      <c r="C61" s="36">
        <f>'C08'!C61</f>
        <v>0</v>
      </c>
      <c r="D61" s="60">
        <v>1980.807373242754</v>
      </c>
      <c r="E61" s="61">
        <v>100</v>
      </c>
      <c r="F61" s="58">
        <v>7.3743836044733158</v>
      </c>
      <c r="G61" s="62">
        <v>2.847421107438044</v>
      </c>
      <c r="H61" s="62">
        <v>0.12301274522214525</v>
      </c>
      <c r="I61" s="62">
        <v>1.0861857286956353</v>
      </c>
      <c r="J61" s="62">
        <v>2.5236427116575597</v>
      </c>
      <c r="K61" s="62">
        <v>0.79237019508574791</v>
      </c>
      <c r="L61" s="62">
        <v>1.7511163741922339E-3</v>
      </c>
      <c r="M61" s="58">
        <v>5.3169770227066024</v>
      </c>
      <c r="N61" s="62">
        <v>3.4057423778720626</v>
      </c>
      <c r="O61" s="62">
        <v>1.2482277811531437</v>
      </c>
      <c r="P61" s="62">
        <v>0.66300686368139417</v>
      </c>
      <c r="Q61" s="58">
        <v>87.308639372820011</v>
      </c>
      <c r="R61" s="62">
        <v>58.649619399266093</v>
      </c>
      <c r="S61" s="62">
        <v>26.623321348034835</v>
      </c>
      <c r="T61" s="62">
        <v>2.0356986255191121</v>
      </c>
    </row>
    <row r="62" spans="1:20" s="19" customFormat="1" ht="14.1" customHeight="1" x14ac:dyDescent="0.25">
      <c r="A62" s="37"/>
      <c r="B62" s="38" t="s">
        <v>56</v>
      </c>
      <c r="C62" s="36">
        <f>'C08'!C62</f>
        <v>0</v>
      </c>
      <c r="D62" s="60">
        <v>22814.891664435152</v>
      </c>
      <c r="E62" s="61">
        <v>100</v>
      </c>
      <c r="F62" s="58">
        <v>16.7597914486817</v>
      </c>
      <c r="G62" s="62">
        <v>6.6051552525353072</v>
      </c>
      <c r="H62" s="62">
        <v>0.93521142682018921</v>
      </c>
      <c r="I62" s="62">
        <v>1.3159797269179199</v>
      </c>
      <c r="J62" s="62">
        <v>5.1976795921450387</v>
      </c>
      <c r="K62" s="62">
        <v>2.6734180806143439</v>
      </c>
      <c r="L62" s="62">
        <v>3.2347369648907033E-2</v>
      </c>
      <c r="M62" s="58">
        <v>9.2549395014085132</v>
      </c>
      <c r="N62" s="62">
        <v>7.456080483153384</v>
      </c>
      <c r="O62" s="62">
        <v>1.7280973086845364</v>
      </c>
      <c r="P62" s="62">
        <v>7.0761709570566891E-2</v>
      </c>
      <c r="Q62" s="58">
        <v>73.985269049910173</v>
      </c>
      <c r="R62" s="62">
        <v>45.055789253911819</v>
      </c>
      <c r="S62" s="62">
        <v>27.580658908704915</v>
      </c>
      <c r="T62" s="62">
        <v>1.3488208872933731</v>
      </c>
    </row>
    <row r="63" spans="1:20" s="19" customFormat="1" ht="14.1" customHeight="1" x14ac:dyDescent="0.25">
      <c r="A63" s="37"/>
      <c r="B63" s="38" t="s">
        <v>57</v>
      </c>
      <c r="C63" s="36">
        <f>'C08'!C63</f>
        <v>0</v>
      </c>
      <c r="D63" s="60">
        <v>4158.5920522640854</v>
      </c>
      <c r="E63" s="61">
        <v>100</v>
      </c>
      <c r="F63" s="58">
        <v>13.768020620064622</v>
      </c>
      <c r="G63" s="62">
        <v>3.6973835282933147</v>
      </c>
      <c r="H63" s="62">
        <v>0.94842612979276475</v>
      </c>
      <c r="I63" s="62">
        <v>1.7932423643252078</v>
      </c>
      <c r="J63" s="62">
        <v>5.3999712002645719</v>
      </c>
      <c r="K63" s="62">
        <v>1.9149409718268662</v>
      </c>
      <c r="L63" s="62">
        <v>1.4056425561913216E-2</v>
      </c>
      <c r="M63" s="58">
        <v>7.408338483367122</v>
      </c>
      <c r="N63" s="62">
        <v>6.1651228720185545</v>
      </c>
      <c r="O63" s="62">
        <v>1.2432156113485504</v>
      </c>
      <c r="P63" s="62">
        <v>0</v>
      </c>
      <c r="Q63" s="58">
        <v>78.823640896567852</v>
      </c>
      <c r="R63" s="62">
        <v>40.615799395971429</v>
      </c>
      <c r="S63" s="62">
        <v>38.171392536277772</v>
      </c>
      <c r="T63" s="62">
        <v>3.6448964319425618E-2</v>
      </c>
    </row>
    <row r="64" spans="1:20" s="19" customFormat="1" ht="14.1" customHeight="1" x14ac:dyDescent="0.25">
      <c r="A64" s="37"/>
      <c r="B64" s="38" t="s">
        <v>204</v>
      </c>
      <c r="C64" s="36">
        <f>'C08'!C64</f>
        <v>0</v>
      </c>
      <c r="D64" s="60">
        <v>174.31089264812974</v>
      </c>
      <c r="E64" s="61">
        <v>100</v>
      </c>
      <c r="F64" s="58">
        <v>24.116533971176988</v>
      </c>
      <c r="G64" s="62">
        <v>4.0025704588937696</v>
      </c>
      <c r="H64" s="62">
        <v>1.5895796041506356</v>
      </c>
      <c r="I64" s="62">
        <v>3.2238271704054426</v>
      </c>
      <c r="J64" s="62">
        <v>15.300556737727151</v>
      </c>
      <c r="K64" s="62">
        <v>0</v>
      </c>
      <c r="L64" s="62">
        <v>0</v>
      </c>
      <c r="M64" s="58">
        <v>10.239717819589151</v>
      </c>
      <c r="N64" s="62">
        <v>7.1979976214312336</v>
      </c>
      <c r="O64" s="62">
        <v>2.9689571905007086</v>
      </c>
      <c r="P64" s="62">
        <v>7.2763007657203282E-2</v>
      </c>
      <c r="Q64" s="58">
        <v>65.643748209233678</v>
      </c>
      <c r="R64" s="62">
        <v>62.899567420162448</v>
      </c>
      <c r="S64" s="62">
        <v>2.7441807890712409</v>
      </c>
      <c r="T64" s="62">
        <v>0</v>
      </c>
    </row>
    <row r="65" spans="1:20" s="19" customFormat="1" ht="14.1" customHeight="1" x14ac:dyDescent="0.25">
      <c r="A65" s="37"/>
      <c r="B65" s="38" t="s">
        <v>58</v>
      </c>
      <c r="C65" s="36">
        <f>'C08'!C65</f>
        <v>0</v>
      </c>
      <c r="D65" s="60">
        <v>6245.5690893469473</v>
      </c>
      <c r="E65" s="61">
        <v>100</v>
      </c>
      <c r="F65" s="58">
        <v>16.491022727451146</v>
      </c>
      <c r="G65" s="62">
        <v>5.1866309751715303</v>
      </c>
      <c r="H65" s="62">
        <v>0.33880718180678604</v>
      </c>
      <c r="I65" s="62">
        <v>0.99222400257410381</v>
      </c>
      <c r="J65" s="62">
        <v>5.4477172979150374</v>
      </c>
      <c r="K65" s="62">
        <v>4.3527987855862724</v>
      </c>
      <c r="L65" s="62">
        <v>0.17284448439745662</v>
      </c>
      <c r="M65" s="58">
        <v>22.254308215539961</v>
      </c>
      <c r="N65" s="62">
        <v>17.677833454732056</v>
      </c>
      <c r="O65" s="62">
        <v>4.4414779900560601</v>
      </c>
      <c r="P65" s="62">
        <v>0.13499677075194091</v>
      </c>
      <c r="Q65" s="58">
        <v>61.254669057009082</v>
      </c>
      <c r="R65" s="62">
        <v>43.1660552067586</v>
      </c>
      <c r="S65" s="62">
        <v>17.957498819054358</v>
      </c>
      <c r="T65" s="62">
        <v>0.13111503119652679</v>
      </c>
    </row>
    <row r="66" spans="1:20" s="19" customFormat="1" ht="14.1" customHeight="1" x14ac:dyDescent="0.25">
      <c r="A66" s="37"/>
      <c r="B66" s="38" t="s">
        <v>59</v>
      </c>
      <c r="C66" s="36">
        <f>'C08'!C66</f>
        <v>0</v>
      </c>
      <c r="D66" s="60">
        <v>8794.4336898108977</v>
      </c>
      <c r="E66" s="61">
        <v>100</v>
      </c>
      <c r="F66" s="58">
        <v>18.05964508713291</v>
      </c>
      <c r="G66" s="62">
        <v>3.4268906903618919</v>
      </c>
      <c r="H66" s="62">
        <v>0.16519384949782834</v>
      </c>
      <c r="I66" s="62">
        <v>1.3799700289455885</v>
      </c>
      <c r="J66" s="62">
        <v>9.0943151609869961</v>
      </c>
      <c r="K66" s="62">
        <v>3.9162453094271985</v>
      </c>
      <c r="L66" s="62">
        <v>7.703004791344692E-2</v>
      </c>
      <c r="M66" s="58">
        <v>29.414662406145919</v>
      </c>
      <c r="N66" s="62">
        <v>23.36419991968528</v>
      </c>
      <c r="O66" s="62">
        <v>5.9250496892972659</v>
      </c>
      <c r="P66" s="62">
        <v>0.12541279716335177</v>
      </c>
      <c r="Q66" s="58">
        <v>52.525692506721121</v>
      </c>
      <c r="R66" s="62">
        <v>34.246006204511382</v>
      </c>
      <c r="S66" s="62">
        <v>18.107305317652617</v>
      </c>
      <c r="T66" s="62">
        <v>0.17238098455682319</v>
      </c>
    </row>
    <row r="67" spans="1:20" s="19" customFormat="1" ht="14.1" customHeight="1" x14ac:dyDescent="0.25">
      <c r="A67" s="37"/>
      <c r="B67" s="38" t="s">
        <v>61</v>
      </c>
      <c r="C67" s="36">
        <f>'C08'!C67</f>
        <v>0</v>
      </c>
      <c r="D67" s="60">
        <v>4247.7761134459652</v>
      </c>
      <c r="E67" s="61">
        <v>100</v>
      </c>
      <c r="F67" s="58">
        <v>38.867821157604979</v>
      </c>
      <c r="G67" s="62">
        <v>8.7585037429657007</v>
      </c>
      <c r="H67" s="62">
        <v>1.1633859286756436</v>
      </c>
      <c r="I67" s="62">
        <v>4.8029363376132945</v>
      </c>
      <c r="J67" s="62">
        <v>21.775647469731599</v>
      </c>
      <c r="K67" s="62">
        <v>2.3596790165765396</v>
      </c>
      <c r="L67" s="62">
        <v>7.6686620422433214E-3</v>
      </c>
      <c r="M67" s="58">
        <v>24.279765831409708</v>
      </c>
      <c r="N67" s="62">
        <v>15.902429111333131</v>
      </c>
      <c r="O67" s="62">
        <v>8.2263464230819743</v>
      </c>
      <c r="P67" s="62">
        <v>0.15099029699458275</v>
      </c>
      <c r="Q67" s="58">
        <v>36.852413010984726</v>
      </c>
      <c r="R67" s="62">
        <v>25.966308362731638</v>
      </c>
      <c r="S67" s="62">
        <v>10.785831234562762</v>
      </c>
      <c r="T67" s="62">
        <v>0.10027341369015184</v>
      </c>
    </row>
    <row r="68" spans="1:20" s="19" customFormat="1" ht="14.1" customHeight="1" x14ac:dyDescent="0.25">
      <c r="A68" s="37"/>
      <c r="B68" s="38" t="s">
        <v>60</v>
      </c>
      <c r="C68" s="36"/>
      <c r="D68" s="60">
        <v>1862.2945966107457</v>
      </c>
      <c r="E68" s="61">
        <v>100</v>
      </c>
      <c r="F68" s="58">
        <v>11.223281806935338</v>
      </c>
      <c r="G68" s="62">
        <v>2.1829312668177492</v>
      </c>
      <c r="H68" s="62">
        <v>0.45515564112625295</v>
      </c>
      <c r="I68" s="62">
        <v>1.4814389254132587</v>
      </c>
      <c r="J68" s="62">
        <v>5.6649237239868286</v>
      </c>
      <c r="K68" s="62">
        <v>1.3076984818701038</v>
      </c>
      <c r="L68" s="62">
        <v>0.13113376772114579</v>
      </c>
      <c r="M68" s="58">
        <v>21.721324082557601</v>
      </c>
      <c r="N68" s="62">
        <v>17.053460349823851</v>
      </c>
      <c r="O68" s="62">
        <v>4.4882255168179679</v>
      </c>
      <c r="P68" s="62">
        <v>0.17963821591577678</v>
      </c>
      <c r="Q68" s="58">
        <v>67.055394110506896</v>
      </c>
      <c r="R68" s="62">
        <v>50.609273856982902</v>
      </c>
      <c r="S68" s="62">
        <v>16.40618361283601</v>
      </c>
      <c r="T68" s="62">
        <v>3.993664068801793E-2</v>
      </c>
    </row>
    <row r="69" spans="1:20" s="19" customFormat="1" ht="14.1" customHeight="1" x14ac:dyDescent="0.25">
      <c r="A69" s="37"/>
      <c r="B69" s="38" t="s">
        <v>117</v>
      </c>
      <c r="C69" s="36"/>
      <c r="D69" s="60">
        <v>124.3937275971696</v>
      </c>
      <c r="E69" s="61">
        <v>100</v>
      </c>
      <c r="F69" s="58">
        <v>8.8695597563281048</v>
      </c>
      <c r="G69" s="62">
        <v>0</v>
      </c>
      <c r="H69" s="62">
        <v>0</v>
      </c>
      <c r="I69" s="62">
        <v>0.46622016019109269</v>
      </c>
      <c r="J69" s="62">
        <v>8.4033395961370125</v>
      </c>
      <c r="K69" s="62">
        <v>0</v>
      </c>
      <c r="L69" s="62">
        <v>0</v>
      </c>
      <c r="M69" s="58">
        <v>2.2498032013079858</v>
      </c>
      <c r="N69" s="62">
        <v>2.2498032013079858</v>
      </c>
      <c r="O69" s="62">
        <v>0</v>
      </c>
      <c r="P69" s="62">
        <v>0</v>
      </c>
      <c r="Q69" s="58">
        <v>88.880637042363915</v>
      </c>
      <c r="R69" s="62">
        <v>55.136488463363278</v>
      </c>
      <c r="S69" s="62">
        <v>33.74414857900063</v>
      </c>
      <c r="T69" s="62">
        <v>0</v>
      </c>
    </row>
    <row r="70" spans="1:20" s="19" customFormat="1" ht="14.1" customHeight="1" x14ac:dyDescent="0.25">
      <c r="A70" s="37" t="s">
        <v>5</v>
      </c>
      <c r="B70" s="38"/>
      <c r="C70" s="36" t="str">
        <f>'C08'!C70</f>
        <v>***</v>
      </c>
      <c r="D70" s="60"/>
      <c r="E70" s="61"/>
      <c r="F70" s="58"/>
      <c r="G70" s="62"/>
      <c r="H70" s="62"/>
      <c r="I70" s="62"/>
      <c r="J70" s="62"/>
      <c r="K70" s="62"/>
      <c r="L70" s="62"/>
      <c r="M70" s="58"/>
      <c r="N70" s="62"/>
      <c r="O70" s="62"/>
      <c r="P70" s="62"/>
      <c r="Q70" s="58"/>
      <c r="R70" s="62"/>
      <c r="S70" s="62"/>
      <c r="T70" s="62"/>
    </row>
    <row r="71" spans="1:20" s="19" customFormat="1" ht="14.1" customHeight="1" x14ac:dyDescent="0.25">
      <c r="A71" s="37"/>
      <c r="B71" s="38" t="s">
        <v>6</v>
      </c>
      <c r="C71" s="36">
        <f>'C08'!C71</f>
        <v>0</v>
      </c>
      <c r="D71" s="60">
        <v>31606.999874662233</v>
      </c>
      <c r="E71" s="61">
        <v>100</v>
      </c>
      <c r="F71" s="58">
        <v>13.606960846471052</v>
      </c>
      <c r="G71" s="62">
        <v>5.7167236502846057</v>
      </c>
      <c r="H71" s="62">
        <v>0.32238471463746809</v>
      </c>
      <c r="I71" s="62">
        <v>1.1101116873290833</v>
      </c>
      <c r="J71" s="62">
        <v>5.039348761960003</v>
      </c>
      <c r="K71" s="62">
        <v>1.3403045116416821</v>
      </c>
      <c r="L71" s="62">
        <v>7.8087520618180306E-2</v>
      </c>
      <c r="M71" s="58">
        <v>6.2902718745452502</v>
      </c>
      <c r="N71" s="62">
        <v>4.8298996831485272</v>
      </c>
      <c r="O71" s="62">
        <v>1.2971456026215755</v>
      </c>
      <c r="P71" s="62">
        <v>0.16322658877514729</v>
      </c>
      <c r="Q71" s="58">
        <v>80.102767278984118</v>
      </c>
      <c r="R71" s="62">
        <v>48.856461772311583</v>
      </c>
      <c r="S71" s="62">
        <v>29.286710386426925</v>
      </c>
      <c r="T71" s="62">
        <v>1.9595951202451007</v>
      </c>
    </row>
    <row r="72" spans="1:20" s="19" customFormat="1" ht="14.1" customHeight="1" x14ac:dyDescent="0.25">
      <c r="A72" s="37"/>
      <c r="B72" s="38" t="s">
        <v>7</v>
      </c>
      <c r="C72" s="36">
        <f>'C08'!C72</f>
        <v>0</v>
      </c>
      <c r="D72" s="60">
        <v>3606.8268745052992</v>
      </c>
      <c r="E72" s="61">
        <v>100</v>
      </c>
      <c r="F72" s="58">
        <v>38.165368359905692</v>
      </c>
      <c r="G72" s="62">
        <v>9.0635979317864575</v>
      </c>
      <c r="H72" s="62">
        <v>0.10976861914337223</v>
      </c>
      <c r="I72" s="62">
        <v>3.5673092146330063</v>
      </c>
      <c r="J72" s="62">
        <v>24.484741505436574</v>
      </c>
      <c r="K72" s="62">
        <v>0.93091967138107301</v>
      </c>
      <c r="L72" s="62">
        <v>9.0314175253002078E-3</v>
      </c>
      <c r="M72" s="58">
        <v>24.897664048620673</v>
      </c>
      <c r="N72" s="62">
        <v>16.390648973160015</v>
      </c>
      <c r="O72" s="62">
        <v>8.1701666558582495</v>
      </c>
      <c r="P72" s="62">
        <v>0.33684841960245215</v>
      </c>
      <c r="Q72" s="58">
        <v>36.936967591473476</v>
      </c>
      <c r="R72" s="62">
        <v>27.762159467612005</v>
      </c>
      <c r="S72" s="62">
        <v>9.1669581424077009</v>
      </c>
      <c r="T72" s="62">
        <v>7.8499814537291678E-3</v>
      </c>
    </row>
    <row r="73" spans="1:20" s="19" customFormat="1" ht="14.1" customHeight="1" x14ac:dyDescent="0.25">
      <c r="A73" s="37"/>
      <c r="B73" s="38" t="s">
        <v>122</v>
      </c>
      <c r="C73" s="36">
        <f>'C08'!C73</f>
        <v>0</v>
      </c>
      <c r="D73" s="60">
        <v>3348.0547469002399</v>
      </c>
      <c r="E73" s="61">
        <v>100</v>
      </c>
      <c r="F73" s="58">
        <v>13.903588997644404</v>
      </c>
      <c r="G73" s="62">
        <v>2.3989734915631171</v>
      </c>
      <c r="H73" s="62">
        <v>3.0236470238657303</v>
      </c>
      <c r="I73" s="62">
        <v>0.61183236512218886</v>
      </c>
      <c r="J73" s="62">
        <v>1.5955578776560275</v>
      </c>
      <c r="K73" s="62">
        <v>6.2669055359426418</v>
      </c>
      <c r="L73" s="62">
        <v>6.6727034946985099E-3</v>
      </c>
      <c r="M73" s="58">
        <v>2.7532790732418255</v>
      </c>
      <c r="N73" s="62">
        <v>1.6133392851127315</v>
      </c>
      <c r="O73" s="62">
        <v>1.1399397881290958</v>
      </c>
      <c r="P73" s="62">
        <v>0</v>
      </c>
      <c r="Q73" s="58">
        <v>83.343131929113596</v>
      </c>
      <c r="R73" s="62">
        <v>22.604938539123211</v>
      </c>
      <c r="S73" s="62">
        <v>49.128254711058275</v>
      </c>
      <c r="T73" s="62">
        <v>11.60993867893194</v>
      </c>
    </row>
    <row r="74" spans="1:20" s="19" customFormat="1" ht="14.1" customHeight="1" x14ac:dyDescent="0.25">
      <c r="A74" s="37"/>
      <c r="B74" s="38" t="s">
        <v>8</v>
      </c>
      <c r="C74" s="36">
        <f>'C08'!C74</f>
        <v>0</v>
      </c>
      <c r="D74" s="60">
        <v>11328.843511083951</v>
      </c>
      <c r="E74" s="61">
        <v>100</v>
      </c>
      <c r="F74" s="58">
        <v>6.5640602224227615</v>
      </c>
      <c r="G74" s="62">
        <v>2.0531786737310256</v>
      </c>
      <c r="H74" s="62">
        <v>0</v>
      </c>
      <c r="I74" s="62">
        <v>0.41793393084493119</v>
      </c>
      <c r="J74" s="62">
        <v>3.34958815077169</v>
      </c>
      <c r="K74" s="62">
        <v>0.71563850922102246</v>
      </c>
      <c r="L74" s="62">
        <v>2.7720957854088159E-2</v>
      </c>
      <c r="M74" s="58">
        <v>17.34913122792307</v>
      </c>
      <c r="N74" s="62">
        <v>12.622849851442886</v>
      </c>
      <c r="O74" s="62">
        <v>4.4669124767808723</v>
      </c>
      <c r="P74" s="62">
        <v>0.25936889969933774</v>
      </c>
      <c r="Q74" s="58">
        <v>76.086808549653426</v>
      </c>
      <c r="R74" s="62">
        <v>59.22253400468373</v>
      </c>
      <c r="S74" s="62">
        <v>16.317272749832039</v>
      </c>
      <c r="T74" s="62">
        <v>0.54700179513817226</v>
      </c>
    </row>
    <row r="75" spans="1:20" s="19" customFormat="1" ht="14.1" customHeight="1" x14ac:dyDescent="0.25">
      <c r="A75" s="37"/>
      <c r="B75" s="38" t="s">
        <v>9</v>
      </c>
      <c r="C75" s="36">
        <f>'C08'!C75</f>
        <v>0</v>
      </c>
      <c r="D75" s="60">
        <v>11810.021986269219</v>
      </c>
      <c r="E75" s="61">
        <v>100</v>
      </c>
      <c r="F75" s="58">
        <v>17.322539870066858</v>
      </c>
      <c r="G75" s="62">
        <v>4.6849448649335592</v>
      </c>
      <c r="H75" s="62">
        <v>0.25336942857814415</v>
      </c>
      <c r="I75" s="62">
        <v>1.1210738035416845</v>
      </c>
      <c r="J75" s="62">
        <v>6.5374233008048046</v>
      </c>
      <c r="K75" s="62">
        <v>4.6969753242797854</v>
      </c>
      <c r="L75" s="62">
        <v>2.8753147928897455E-2</v>
      </c>
      <c r="M75" s="58">
        <v>9.8973776438854326</v>
      </c>
      <c r="N75" s="62">
        <v>8.2087437082555343</v>
      </c>
      <c r="O75" s="62">
        <v>1.6166029177699344</v>
      </c>
      <c r="P75" s="62">
        <v>7.2031017859962604E-2</v>
      </c>
      <c r="Q75" s="58">
        <v>72.780082486048357</v>
      </c>
      <c r="R75" s="62">
        <v>39.033991450630623</v>
      </c>
      <c r="S75" s="62">
        <v>32.919439155534654</v>
      </c>
      <c r="T75" s="62">
        <v>0.82665187988366584</v>
      </c>
    </row>
    <row r="76" spans="1:20" s="19" customFormat="1" ht="14.1" customHeight="1" x14ac:dyDescent="0.25">
      <c r="A76" s="37"/>
      <c r="B76" s="38" t="s">
        <v>10</v>
      </c>
      <c r="C76" s="36">
        <f>'C08'!C76</f>
        <v>0</v>
      </c>
      <c r="D76" s="60">
        <v>8910.1833462995219</v>
      </c>
      <c r="E76" s="61">
        <v>100</v>
      </c>
      <c r="F76" s="58">
        <v>20.254302211180477</v>
      </c>
      <c r="G76" s="62">
        <v>3.0164856177206749</v>
      </c>
      <c r="H76" s="62">
        <v>1.727347275577235</v>
      </c>
      <c r="I76" s="62">
        <v>3.5130234259732149</v>
      </c>
      <c r="J76" s="62">
        <v>6.1365825267017824</v>
      </c>
      <c r="K76" s="62">
        <v>5.5593165308977843</v>
      </c>
      <c r="L76" s="62">
        <v>0.30154683430971713</v>
      </c>
      <c r="M76" s="58">
        <v>32.846227403541569</v>
      </c>
      <c r="N76" s="62">
        <v>27.212963298400123</v>
      </c>
      <c r="O76" s="62">
        <v>5.5035947710696309</v>
      </c>
      <c r="P76" s="62">
        <v>0.12966933407183667</v>
      </c>
      <c r="Q76" s="58">
        <v>46.899470385279294</v>
      </c>
      <c r="R76" s="62">
        <v>26.302464970649318</v>
      </c>
      <c r="S76" s="62">
        <v>20.10599889285567</v>
      </c>
      <c r="T76" s="62">
        <v>0.49100652177395132</v>
      </c>
    </row>
    <row r="77" spans="1:20" s="19" customFormat="1" ht="14.1" customHeight="1" x14ac:dyDescent="0.25">
      <c r="A77" s="37" t="s">
        <v>72</v>
      </c>
      <c r="B77" s="38"/>
      <c r="C77" s="36" t="str">
        <f>'C08'!C77</f>
        <v>***</v>
      </c>
      <c r="D77" s="60"/>
      <c r="E77" s="61"/>
      <c r="F77" s="58"/>
      <c r="G77" s="62"/>
      <c r="H77" s="62"/>
      <c r="I77" s="62"/>
      <c r="J77" s="62"/>
      <c r="K77" s="62"/>
      <c r="L77" s="62"/>
      <c r="M77" s="58"/>
      <c r="N77" s="62"/>
      <c r="O77" s="62"/>
      <c r="P77" s="62"/>
      <c r="Q77" s="58"/>
      <c r="R77" s="62"/>
      <c r="S77" s="62"/>
      <c r="T77" s="62"/>
    </row>
    <row r="78" spans="1:20" s="19" customFormat="1" ht="14.1" customHeight="1" x14ac:dyDescent="0.25">
      <c r="A78" s="37"/>
      <c r="B78" s="38" t="s">
        <v>163</v>
      </c>
      <c r="C78" s="36">
        <f>'C08'!C78</f>
        <v>0</v>
      </c>
      <c r="D78" s="60">
        <v>4683.7900156023434</v>
      </c>
      <c r="E78" s="61">
        <v>100</v>
      </c>
      <c r="F78" s="58">
        <v>19.486985973587561</v>
      </c>
      <c r="G78" s="62">
        <v>3.5532589827896688</v>
      </c>
      <c r="H78" s="62">
        <v>1.3902974731218354</v>
      </c>
      <c r="I78" s="62">
        <v>2.6367193973999612</v>
      </c>
      <c r="J78" s="62">
        <v>8.348676530660013</v>
      </c>
      <c r="K78" s="62">
        <v>3.4500812275770505</v>
      </c>
      <c r="L78" s="62">
        <v>0.10795236203905927</v>
      </c>
      <c r="M78" s="58">
        <v>17.117370744549774</v>
      </c>
      <c r="N78" s="62">
        <v>13.124263470619121</v>
      </c>
      <c r="O78" s="62">
        <v>3.8862690016497452</v>
      </c>
      <c r="P78" s="62">
        <v>0.10683827228088104</v>
      </c>
      <c r="Q78" s="58">
        <v>63.395643281863066</v>
      </c>
      <c r="R78" s="62">
        <v>34.16800094268924</v>
      </c>
      <c r="S78" s="62">
        <v>26.082221335118508</v>
      </c>
      <c r="T78" s="62">
        <v>3.1454210040553474</v>
      </c>
    </row>
    <row r="79" spans="1:20" s="19" customFormat="1" ht="14.1" customHeight="1" x14ac:dyDescent="0.25">
      <c r="A79" s="37"/>
      <c r="B79" s="38" t="s">
        <v>164</v>
      </c>
      <c r="C79" s="36">
        <f>'C08'!C79</f>
        <v>0</v>
      </c>
      <c r="D79" s="60">
        <v>17142.862766269471</v>
      </c>
      <c r="E79" s="61">
        <v>100</v>
      </c>
      <c r="F79" s="58">
        <v>13.795958810575438</v>
      </c>
      <c r="G79" s="62">
        <v>4.4135043152388427</v>
      </c>
      <c r="H79" s="62">
        <v>0.40801137161969908</v>
      </c>
      <c r="I79" s="62">
        <v>1.404200232655358</v>
      </c>
      <c r="J79" s="62">
        <v>5.7174279064677407</v>
      </c>
      <c r="K79" s="62">
        <v>1.8392246299826731</v>
      </c>
      <c r="L79" s="62">
        <v>1.3590354611081492E-2</v>
      </c>
      <c r="M79" s="58">
        <v>11.320498554390062</v>
      </c>
      <c r="N79" s="62">
        <v>8.5007701929449269</v>
      </c>
      <c r="O79" s="62">
        <v>2.6049354568632732</v>
      </c>
      <c r="P79" s="62">
        <v>0.21479290458184261</v>
      </c>
      <c r="Q79" s="58">
        <v>74.883542635034217</v>
      </c>
      <c r="R79" s="62">
        <v>47.557387293613495</v>
      </c>
      <c r="S79" s="62">
        <v>26.030763222495445</v>
      </c>
      <c r="T79" s="62">
        <v>1.2953921189254924</v>
      </c>
    </row>
    <row r="80" spans="1:20" s="19" customFormat="1" ht="14.1" customHeight="1" x14ac:dyDescent="0.25">
      <c r="A80" s="37"/>
      <c r="B80" s="38" t="s">
        <v>219</v>
      </c>
      <c r="C80" s="36"/>
      <c r="D80" s="60">
        <v>7721.1326464049171</v>
      </c>
      <c r="E80" s="61">
        <v>100</v>
      </c>
      <c r="F80" s="58">
        <v>14.64510795596301</v>
      </c>
      <c r="G80" s="62">
        <v>3.6287855435691729</v>
      </c>
      <c r="H80" s="62">
        <v>0.52019652064701094</v>
      </c>
      <c r="I80" s="62">
        <v>0.89021641412606578</v>
      </c>
      <c r="J80" s="62">
        <v>6.1421887504451966</v>
      </c>
      <c r="K80" s="62">
        <v>3.1660157470733967</v>
      </c>
      <c r="L80" s="62">
        <v>0.2977049801021418</v>
      </c>
      <c r="M80" s="58">
        <v>15.771235376106238</v>
      </c>
      <c r="N80" s="62">
        <v>11.819812929658262</v>
      </c>
      <c r="O80" s="62">
        <v>3.8361104052279642</v>
      </c>
      <c r="P80" s="62">
        <v>0.11531204122002733</v>
      </c>
      <c r="Q80" s="58">
        <v>69.583656667930825</v>
      </c>
      <c r="R80" s="62">
        <v>44.66951355517994</v>
      </c>
      <c r="S80" s="62">
        <v>23.097405636176276</v>
      </c>
      <c r="T80" s="62">
        <v>1.8167374765743536</v>
      </c>
    </row>
    <row r="81" spans="1:20" s="19" customFormat="1" ht="14.1" customHeight="1" x14ac:dyDescent="0.25">
      <c r="A81" s="37"/>
      <c r="B81" s="38" t="s">
        <v>214</v>
      </c>
      <c r="C81" s="36"/>
      <c r="D81" s="60">
        <v>5848.7720376096431</v>
      </c>
      <c r="E81" s="61">
        <v>100</v>
      </c>
      <c r="F81" s="58">
        <v>13.705545367870743</v>
      </c>
      <c r="G81" s="62">
        <v>4.1512515577765621</v>
      </c>
      <c r="H81" s="62">
        <v>0.32424590166845824</v>
      </c>
      <c r="I81" s="62">
        <v>0.70558093923252319</v>
      </c>
      <c r="J81" s="62">
        <v>5.0838189450994742</v>
      </c>
      <c r="K81" s="62">
        <v>3.1144667424075818</v>
      </c>
      <c r="L81" s="62">
        <v>0.32618128168613914</v>
      </c>
      <c r="M81" s="58">
        <v>16.14503094150113</v>
      </c>
      <c r="N81" s="62">
        <v>12.905555764840617</v>
      </c>
      <c r="O81" s="62">
        <v>2.9380252705120693</v>
      </c>
      <c r="P81" s="62">
        <v>0.3014499061484297</v>
      </c>
      <c r="Q81" s="58">
        <v>70.149423690627955</v>
      </c>
      <c r="R81" s="62">
        <v>44.413659949342225</v>
      </c>
      <c r="S81" s="62">
        <v>23.459819058814432</v>
      </c>
      <c r="T81" s="62">
        <v>2.2759446824713097</v>
      </c>
    </row>
    <row r="82" spans="1:20" s="19" customFormat="1" ht="14.1" customHeight="1" x14ac:dyDescent="0.25">
      <c r="A82" s="37"/>
      <c r="B82" s="38" t="s">
        <v>216</v>
      </c>
      <c r="C82" s="36"/>
      <c r="D82" s="60">
        <v>3827.1054124698408</v>
      </c>
      <c r="E82" s="61">
        <v>100</v>
      </c>
      <c r="F82" s="58">
        <v>18.028317116121649</v>
      </c>
      <c r="G82" s="62">
        <v>4.6846266090683581</v>
      </c>
      <c r="H82" s="62">
        <v>0.16287767765879121</v>
      </c>
      <c r="I82" s="62">
        <v>1.5468650470250562</v>
      </c>
      <c r="J82" s="62">
        <v>7.0251383091564357</v>
      </c>
      <c r="K82" s="62">
        <v>4.5350623948512219</v>
      </c>
      <c r="L82" s="62">
        <v>7.3747078361776366E-2</v>
      </c>
      <c r="M82" s="58">
        <v>12.511041042435997</v>
      </c>
      <c r="N82" s="62">
        <v>9.7669369839980735</v>
      </c>
      <c r="O82" s="62">
        <v>2.6657447479344967</v>
      </c>
      <c r="P82" s="62">
        <v>7.8359310503425705E-2</v>
      </c>
      <c r="Q82" s="58">
        <v>69.460641841442069</v>
      </c>
      <c r="R82" s="62">
        <v>37.542315566148119</v>
      </c>
      <c r="S82" s="62">
        <v>28.974957723860328</v>
      </c>
      <c r="T82" s="62">
        <v>2.9433685514337258</v>
      </c>
    </row>
    <row r="83" spans="1:20" s="19" customFormat="1" ht="14.1" customHeight="1" x14ac:dyDescent="0.25">
      <c r="A83" s="37"/>
      <c r="B83" s="38" t="s">
        <v>218</v>
      </c>
      <c r="C83" s="36">
        <f>'C08'!C83</f>
        <v>0</v>
      </c>
      <c r="D83" s="60">
        <v>6544.4595757939296</v>
      </c>
      <c r="E83" s="61">
        <v>100</v>
      </c>
      <c r="F83" s="58">
        <v>16.575996998945985</v>
      </c>
      <c r="G83" s="62">
        <v>4.0173333807600393</v>
      </c>
      <c r="H83" s="62">
        <v>0.45978564407688027</v>
      </c>
      <c r="I83" s="62">
        <v>1.6998043199344488</v>
      </c>
      <c r="J83" s="62">
        <v>7.5627656307008291</v>
      </c>
      <c r="K83" s="62">
        <v>2.8040315474983286</v>
      </c>
      <c r="L83" s="62">
        <v>3.2276475975504343E-2</v>
      </c>
      <c r="M83" s="58">
        <v>14.211427754000926</v>
      </c>
      <c r="N83" s="62">
        <v>10.708445222185491</v>
      </c>
      <c r="O83" s="62">
        <v>3.3699695950475772</v>
      </c>
      <c r="P83" s="62">
        <v>0.13301293676786516</v>
      </c>
      <c r="Q83" s="58">
        <v>69.212575247053067</v>
      </c>
      <c r="R83" s="62">
        <v>35.88602955834525</v>
      </c>
      <c r="S83" s="62">
        <v>30.613629149196445</v>
      </c>
      <c r="T83" s="62">
        <v>2.712916539511312</v>
      </c>
    </row>
    <row r="84" spans="1:20" s="19" customFormat="1" ht="14.1" customHeight="1" x14ac:dyDescent="0.25">
      <c r="A84" s="37"/>
      <c r="B84" s="38" t="s">
        <v>125</v>
      </c>
      <c r="C84" s="36">
        <f>'C08'!C84</f>
        <v>0</v>
      </c>
      <c r="D84" s="60">
        <v>15609.161839479499</v>
      </c>
      <c r="E84" s="61">
        <v>100</v>
      </c>
      <c r="F84" s="58">
        <v>15.594675506178435</v>
      </c>
      <c r="G84" s="62">
        <v>5.2079870531281278</v>
      </c>
      <c r="H84" s="62">
        <v>0.74290937845441996</v>
      </c>
      <c r="I84" s="62">
        <v>1.613190601680583</v>
      </c>
      <c r="J84" s="62">
        <v>5.8080708594131982</v>
      </c>
      <c r="K84" s="62">
        <v>2.2061168958861543</v>
      </c>
      <c r="L84" s="62">
        <v>1.6400717615923228E-2</v>
      </c>
      <c r="M84" s="58">
        <v>9.7666942075678396</v>
      </c>
      <c r="N84" s="62">
        <v>7.7138935831640021</v>
      </c>
      <c r="O84" s="62">
        <v>1.8565111454387613</v>
      </c>
      <c r="P84" s="62">
        <v>0.19628947896506493</v>
      </c>
      <c r="Q84" s="58">
        <v>74.638630286253132</v>
      </c>
      <c r="R84" s="62">
        <v>45.548939431135757</v>
      </c>
      <c r="S84" s="62">
        <v>27.734930402871502</v>
      </c>
      <c r="T84" s="62">
        <v>1.3547604522457013</v>
      </c>
    </row>
    <row r="85" spans="1:20" s="19" customFormat="1" ht="14.1" customHeight="1" x14ac:dyDescent="0.25">
      <c r="A85" s="37"/>
      <c r="B85" s="38" t="s">
        <v>126</v>
      </c>
      <c r="C85" s="36">
        <f>'C08'!C85</f>
        <v>0</v>
      </c>
      <c r="D85" s="60">
        <v>7146.8427548671116</v>
      </c>
      <c r="E85" s="61">
        <v>100</v>
      </c>
      <c r="F85" s="58">
        <v>14.879630048066709</v>
      </c>
      <c r="G85" s="62">
        <v>6.7573597629772291</v>
      </c>
      <c r="H85" s="62">
        <v>0.45342347698732322</v>
      </c>
      <c r="I85" s="62">
        <v>0.94409103319621412</v>
      </c>
      <c r="J85" s="62">
        <v>4.589184008445911</v>
      </c>
      <c r="K85" s="62">
        <v>2.1182738901721758</v>
      </c>
      <c r="L85" s="62">
        <v>1.7297876287854317E-2</v>
      </c>
      <c r="M85" s="58">
        <v>12.746302023426848</v>
      </c>
      <c r="N85" s="62">
        <v>10.613822446110355</v>
      </c>
      <c r="O85" s="62">
        <v>2.1179299916334102</v>
      </c>
      <c r="P85" s="62">
        <v>1.4549585683092276E-2</v>
      </c>
      <c r="Q85" s="58">
        <v>72.374067928506662</v>
      </c>
      <c r="R85" s="62">
        <v>44.218240222319281</v>
      </c>
      <c r="S85" s="62">
        <v>27.515249511575618</v>
      </c>
      <c r="T85" s="62">
        <v>0.64057819461192778</v>
      </c>
    </row>
    <row r="86" spans="1:20" s="19" customFormat="1" ht="14.1" customHeight="1" x14ac:dyDescent="0.25">
      <c r="A86" s="37"/>
      <c r="B86" s="38" t="s">
        <v>127</v>
      </c>
      <c r="C86" s="36">
        <f>'C08'!C86</f>
        <v>0</v>
      </c>
      <c r="D86" s="60">
        <v>1190.8024905235177</v>
      </c>
      <c r="E86" s="61">
        <v>100</v>
      </c>
      <c r="F86" s="58">
        <v>14.279989731036974</v>
      </c>
      <c r="G86" s="62">
        <v>4.5903409769205421</v>
      </c>
      <c r="H86" s="62">
        <v>0.4265430844875821</v>
      </c>
      <c r="I86" s="62">
        <v>0.62832482820469737</v>
      </c>
      <c r="J86" s="62">
        <v>5.1450987939207424</v>
      </c>
      <c r="K86" s="62">
        <v>3.4896820475034223</v>
      </c>
      <c r="L86" s="62">
        <v>0</v>
      </c>
      <c r="M86" s="58">
        <v>9.1343189786351981</v>
      </c>
      <c r="N86" s="62">
        <v>6.7299997033373424</v>
      </c>
      <c r="O86" s="62">
        <v>2.4043192752978504</v>
      </c>
      <c r="P86" s="62">
        <v>0</v>
      </c>
      <c r="Q86" s="58">
        <v>76.585691290327787</v>
      </c>
      <c r="R86" s="62">
        <v>46.763611912871745</v>
      </c>
      <c r="S86" s="62">
        <v>29.201959880410485</v>
      </c>
      <c r="T86" s="62">
        <v>0.62011949704570579</v>
      </c>
    </row>
    <row r="87" spans="1:20" s="19" customFormat="1" ht="14.1" customHeight="1" x14ac:dyDescent="0.25">
      <c r="A87" s="37"/>
      <c r="B87" s="38" t="s">
        <v>75</v>
      </c>
      <c r="C87" s="36">
        <f>'C08'!C87</f>
        <v>0</v>
      </c>
      <c r="D87" s="60">
        <v>896.00080070044635</v>
      </c>
      <c r="E87" s="61">
        <v>100</v>
      </c>
      <c r="F87" s="58">
        <v>9.4159926532645688</v>
      </c>
      <c r="G87" s="62">
        <v>3.3538882838198689</v>
      </c>
      <c r="H87" s="62">
        <v>0.77654841870013047</v>
      </c>
      <c r="I87" s="62">
        <v>2.3842041587870093</v>
      </c>
      <c r="J87" s="62">
        <v>2.8186929536823291</v>
      </c>
      <c r="K87" s="62">
        <v>3.1981537508725372E-2</v>
      </c>
      <c r="L87" s="62">
        <v>5.0677300766500677E-2</v>
      </c>
      <c r="M87" s="58">
        <v>20.296467148416575</v>
      </c>
      <c r="N87" s="62">
        <v>15.534473331400548</v>
      </c>
      <c r="O87" s="62">
        <v>4.6010986667499951</v>
      </c>
      <c r="P87" s="62">
        <v>0.16089515026600398</v>
      </c>
      <c r="Q87" s="58">
        <v>70.287540198318865</v>
      </c>
      <c r="R87" s="62">
        <v>50.341439015509209</v>
      </c>
      <c r="S87" s="62">
        <v>18.372190917150881</v>
      </c>
      <c r="T87" s="62">
        <v>1.5739102656586357</v>
      </c>
    </row>
    <row r="88" spans="1:20" s="19" customFormat="1" ht="14.1" customHeight="1" x14ac:dyDescent="0.25">
      <c r="A88" s="63"/>
      <c r="B88" s="64"/>
      <c r="C88" s="65"/>
      <c r="D88" s="66"/>
      <c r="E88" s="67"/>
      <c r="F88" s="68"/>
      <c r="G88" s="69"/>
      <c r="H88" s="69"/>
      <c r="I88" s="69"/>
      <c r="J88" s="69"/>
      <c r="K88" s="69"/>
      <c r="L88" s="69"/>
      <c r="M88" s="68"/>
      <c r="N88" s="69"/>
      <c r="O88" s="69"/>
      <c r="P88" s="69"/>
      <c r="Q88" s="68"/>
      <c r="R88" s="69"/>
      <c r="S88" s="69"/>
      <c r="T88" s="69"/>
    </row>
    <row r="89" spans="1:20" s="19" customFormat="1" ht="14.1" customHeight="1" x14ac:dyDescent="0.25">
      <c r="A89" s="30"/>
      <c r="B89" s="70"/>
      <c r="C89" s="108"/>
      <c r="D89" s="145"/>
      <c r="E89" s="110"/>
      <c r="F89" s="72"/>
      <c r="G89" s="71"/>
      <c r="H89" s="71"/>
      <c r="I89" s="71"/>
      <c r="J89" s="71"/>
      <c r="K89" s="71"/>
      <c r="L89" s="71"/>
      <c r="M89" s="72"/>
      <c r="N89" s="71"/>
      <c r="O89" s="71"/>
      <c r="P89" s="71"/>
      <c r="Q89" s="72"/>
      <c r="R89" s="71"/>
      <c r="S89" s="71"/>
      <c r="T89" s="71"/>
    </row>
    <row r="90" spans="1:20" s="19" customFormat="1" ht="14.1" customHeight="1" x14ac:dyDescent="0.25">
      <c r="A90" s="37" t="s">
        <v>62</v>
      </c>
      <c r="B90" s="38"/>
      <c r="C90" s="36" t="s">
        <v>19</v>
      </c>
      <c r="D90" s="60"/>
      <c r="E90" s="61"/>
      <c r="F90" s="58"/>
      <c r="G90" s="62"/>
      <c r="H90" s="62"/>
      <c r="I90" s="62"/>
      <c r="J90" s="62"/>
      <c r="K90" s="62"/>
      <c r="L90" s="62"/>
      <c r="M90" s="58"/>
      <c r="N90" s="62"/>
      <c r="O90" s="62"/>
      <c r="P90" s="62"/>
      <c r="Q90" s="58"/>
      <c r="R90" s="62"/>
      <c r="S90" s="62"/>
      <c r="T90" s="62"/>
    </row>
    <row r="91" spans="1:20" s="19" customFormat="1" ht="14.1" customHeight="1" x14ac:dyDescent="0.25">
      <c r="A91" s="37"/>
      <c r="B91" s="38" t="s">
        <v>129</v>
      </c>
      <c r="C91" s="36"/>
      <c r="D91" s="6">
        <v>51584.020474229335</v>
      </c>
      <c r="E91" s="5">
        <v>100</v>
      </c>
      <c r="F91" s="7">
        <v>16.280609049986591</v>
      </c>
      <c r="G91" s="8">
        <v>3.7090932015665752</v>
      </c>
      <c r="H91" s="8">
        <v>0.21082815973654428</v>
      </c>
      <c r="I91" s="8">
        <v>1.1162884246172249</v>
      </c>
      <c r="J91" s="8">
        <v>8.4437961205043628</v>
      </c>
      <c r="K91" s="8">
        <v>2.7018489145418414</v>
      </c>
      <c r="L91" s="8">
        <v>9.8754229020077383E-2</v>
      </c>
      <c r="M91" s="7">
        <v>12.327536556495888</v>
      </c>
      <c r="N91" s="8">
        <v>6.6959670023718019</v>
      </c>
      <c r="O91" s="8">
        <v>5.6315695541240034</v>
      </c>
      <c r="P91" s="8">
        <v>0</v>
      </c>
      <c r="Q91" s="174">
        <v>71.391854393517278</v>
      </c>
      <c r="R91" s="175">
        <v>46.803310462084369</v>
      </c>
      <c r="S91" s="175">
        <v>23.457603407907634</v>
      </c>
      <c r="T91" s="175">
        <v>1.1309405235263543</v>
      </c>
    </row>
    <row r="92" spans="1:20" s="19" customFormat="1" ht="14.1" customHeight="1" x14ac:dyDescent="0.25">
      <c r="A92" s="37"/>
      <c r="B92" s="38" t="s">
        <v>130</v>
      </c>
      <c r="C92" s="36"/>
      <c r="D92" s="6">
        <v>82437.596381037714</v>
      </c>
      <c r="E92" s="5">
        <v>100</v>
      </c>
      <c r="F92" s="7">
        <v>16.62892728474732</v>
      </c>
      <c r="G92" s="8">
        <v>3.8022979717829473</v>
      </c>
      <c r="H92" s="8">
        <v>0.16986381365640707</v>
      </c>
      <c r="I92" s="8">
        <v>1.2770261974355421</v>
      </c>
      <c r="J92" s="8">
        <v>8.754611048733647</v>
      </c>
      <c r="K92" s="8">
        <v>2.5504396599751225</v>
      </c>
      <c r="L92" s="8">
        <v>7.4688593163706463E-2</v>
      </c>
      <c r="M92" s="7">
        <v>12.139913010009277</v>
      </c>
      <c r="N92" s="8">
        <v>7.0235217637289784</v>
      </c>
      <c r="O92" s="8">
        <v>5.1163912462801768</v>
      </c>
      <c r="P92" s="8">
        <v>0</v>
      </c>
      <c r="Q92" s="174">
        <v>71.231159705247705</v>
      </c>
      <c r="R92" s="175">
        <v>45.383135690403897</v>
      </c>
      <c r="S92" s="175">
        <v>23.336453136340001</v>
      </c>
      <c r="T92" s="175">
        <v>2.5115708785047648</v>
      </c>
    </row>
    <row r="93" spans="1:20" s="19" customFormat="1" ht="14.1" customHeight="1" x14ac:dyDescent="0.25">
      <c r="A93" s="37"/>
      <c r="B93" s="38" t="s">
        <v>131</v>
      </c>
      <c r="C93" s="36"/>
      <c r="D93" s="6">
        <v>82848.940605586831</v>
      </c>
      <c r="E93" s="5">
        <v>100</v>
      </c>
      <c r="F93" s="7">
        <v>17.479404740245041</v>
      </c>
      <c r="G93" s="8">
        <v>4.0819662578425451</v>
      </c>
      <c r="H93" s="8">
        <v>0.28091738261748794</v>
      </c>
      <c r="I93" s="8">
        <v>1.4826407111786666</v>
      </c>
      <c r="J93" s="8">
        <v>8.8945129247074988</v>
      </c>
      <c r="K93" s="8">
        <v>2.6333216786016451</v>
      </c>
      <c r="L93" s="8">
        <v>0.10604578529728176</v>
      </c>
      <c r="M93" s="7">
        <v>10.880159460061707</v>
      </c>
      <c r="N93" s="8">
        <v>6.2968879314618755</v>
      </c>
      <c r="O93" s="8">
        <v>4.5832715285998171</v>
      </c>
      <c r="P93" s="8">
        <v>0</v>
      </c>
      <c r="Q93" s="174">
        <v>71.640435799697798</v>
      </c>
      <c r="R93" s="175">
        <v>45.8793577953845</v>
      </c>
      <c r="S93" s="175">
        <v>24.271088216867</v>
      </c>
      <c r="T93" s="175">
        <v>1.4899897874436883</v>
      </c>
    </row>
    <row r="94" spans="1:20" s="19" customFormat="1" ht="14.1" customHeight="1" x14ac:dyDescent="0.25">
      <c r="A94" s="37"/>
      <c r="B94" s="38" t="s">
        <v>132</v>
      </c>
      <c r="C94" s="36"/>
      <c r="D94" s="6">
        <v>82720.677006097045</v>
      </c>
      <c r="E94" s="5">
        <v>100</v>
      </c>
      <c r="F94" s="7">
        <v>17.494470293073743</v>
      </c>
      <c r="G94" s="8">
        <v>4.0305802205245129</v>
      </c>
      <c r="H94" s="8">
        <v>0.22762122592373613</v>
      </c>
      <c r="I94" s="8">
        <v>1.403030237076244</v>
      </c>
      <c r="J94" s="8">
        <v>9.2240231998620867</v>
      </c>
      <c r="K94" s="8">
        <v>2.4529104887781203</v>
      </c>
      <c r="L94" s="8">
        <v>0.15630492090914563</v>
      </c>
      <c r="M94" s="7">
        <v>11.780345925082148</v>
      </c>
      <c r="N94" s="8">
        <v>6.9346238200556307</v>
      </c>
      <c r="O94" s="8">
        <v>4.845722105026443</v>
      </c>
      <c r="P94" s="8">
        <v>0</v>
      </c>
      <c r="Q94" s="174">
        <v>70.725183781844237</v>
      </c>
      <c r="R94" s="175">
        <v>45.482586550940923</v>
      </c>
      <c r="S94" s="175">
        <v>23.726928589102027</v>
      </c>
      <c r="T94" s="175">
        <v>1.515668641799288</v>
      </c>
    </row>
    <row r="95" spans="1:20" s="19" customFormat="1" ht="14.1" customHeight="1" x14ac:dyDescent="0.25">
      <c r="A95" s="37"/>
      <c r="B95" s="38" t="s">
        <v>133</v>
      </c>
      <c r="C95" s="36"/>
      <c r="D95" s="6">
        <v>78529.517515162443</v>
      </c>
      <c r="E95" s="5">
        <v>100</v>
      </c>
      <c r="F95" s="7">
        <v>17.804580978786625</v>
      </c>
      <c r="G95" s="8">
        <v>4.4632723809319375</v>
      </c>
      <c r="H95" s="8">
        <v>0.24562784349800221</v>
      </c>
      <c r="I95" s="8">
        <v>1.4108087103242564</v>
      </c>
      <c r="J95" s="8">
        <v>9.1864924878262553</v>
      </c>
      <c r="K95" s="8">
        <v>2.3780372781196304</v>
      </c>
      <c r="L95" s="8">
        <v>0.12034227808665859</v>
      </c>
      <c r="M95" s="7">
        <v>11.780119584682518</v>
      </c>
      <c r="N95" s="8">
        <v>7.138375226918706</v>
      </c>
      <c r="O95" s="8">
        <v>4.6417443577637671</v>
      </c>
      <c r="P95" s="8">
        <v>0</v>
      </c>
      <c r="Q95" s="174">
        <v>70.415299436528429</v>
      </c>
      <c r="R95" s="175">
        <v>45.486325580039157</v>
      </c>
      <c r="S95" s="175">
        <v>23.910555064634533</v>
      </c>
      <c r="T95" s="175">
        <v>1.0184187918571896</v>
      </c>
    </row>
    <row r="96" spans="1:20" s="19" customFormat="1" ht="14.1" customHeight="1" x14ac:dyDescent="0.25">
      <c r="A96" s="37"/>
      <c r="B96" s="38" t="s">
        <v>134</v>
      </c>
      <c r="C96" s="36"/>
      <c r="D96" s="6">
        <v>81532.156374389102</v>
      </c>
      <c r="E96" s="5">
        <v>100</v>
      </c>
      <c r="F96" s="7">
        <v>17.853987787657413</v>
      </c>
      <c r="G96" s="8">
        <v>4.8316028150611467</v>
      </c>
      <c r="H96" s="8">
        <v>0.34690258133408053</v>
      </c>
      <c r="I96" s="8">
        <v>1.5138491030123777</v>
      </c>
      <c r="J96" s="8">
        <v>8.6912311438554077</v>
      </c>
      <c r="K96" s="8">
        <v>2.3390309750673612</v>
      </c>
      <c r="L96" s="8">
        <v>0.13137116932685208</v>
      </c>
      <c r="M96" s="7">
        <v>11.318420380117564</v>
      </c>
      <c r="N96" s="8">
        <v>7.2524050971283192</v>
      </c>
      <c r="O96" s="8">
        <v>4.0660152829891283</v>
      </c>
      <c r="P96" s="8">
        <v>0</v>
      </c>
      <c r="Q96" s="174">
        <v>70.82759183222737</v>
      </c>
      <c r="R96" s="175">
        <v>45.338938611750791</v>
      </c>
      <c r="S96" s="175">
        <v>24.398451228474677</v>
      </c>
      <c r="T96" s="175">
        <v>1.0902019920011419</v>
      </c>
    </row>
    <row r="97" spans="1:20" s="19" customFormat="1" ht="14.1" customHeight="1" x14ac:dyDescent="0.25">
      <c r="A97" s="37"/>
      <c r="B97" s="38" t="s">
        <v>135</v>
      </c>
      <c r="C97" s="36"/>
      <c r="D97" s="6">
        <v>80971.411055567252</v>
      </c>
      <c r="E97" s="5">
        <v>100</v>
      </c>
      <c r="F97" s="7">
        <v>17.948432724325144</v>
      </c>
      <c r="G97" s="8">
        <v>4.7084356755771886</v>
      </c>
      <c r="H97" s="8">
        <v>0.32124061393832187</v>
      </c>
      <c r="I97" s="8">
        <v>1.6600073535819384</v>
      </c>
      <c r="J97" s="8">
        <v>8.6978199044874831</v>
      </c>
      <c r="K97" s="8">
        <v>2.3674796967316922</v>
      </c>
      <c r="L97" s="8">
        <v>0.19344948000845713</v>
      </c>
      <c r="M97" s="7">
        <v>10.735393568121165</v>
      </c>
      <c r="N97" s="8">
        <v>6.7940732396698857</v>
      </c>
      <c r="O97" s="8">
        <v>3.9413203284512797</v>
      </c>
      <c r="P97" s="8">
        <v>0</v>
      </c>
      <c r="Q97" s="174">
        <v>71.316173707554569</v>
      </c>
      <c r="R97" s="175">
        <v>46.352925004195932</v>
      </c>
      <c r="S97" s="175">
        <v>23.900540933483402</v>
      </c>
      <c r="T97" s="175">
        <v>1.062707769876134</v>
      </c>
    </row>
    <row r="98" spans="1:20" s="19" customFormat="1" ht="14.1" customHeight="1" x14ac:dyDescent="0.25">
      <c r="A98" s="37"/>
      <c r="B98" s="38" t="s">
        <v>136</v>
      </c>
      <c r="C98" s="36"/>
      <c r="D98" s="6">
        <v>82778.835474371488</v>
      </c>
      <c r="E98" s="5">
        <v>100</v>
      </c>
      <c r="F98" s="7">
        <v>18.126402473492295</v>
      </c>
      <c r="G98" s="8">
        <v>5.0920198625806865</v>
      </c>
      <c r="H98" s="8">
        <v>0.3708322570872431</v>
      </c>
      <c r="I98" s="8">
        <v>1.4107892755673115</v>
      </c>
      <c r="J98" s="8">
        <v>8.8434951650330618</v>
      </c>
      <c r="K98" s="8">
        <v>2.2336127609124885</v>
      </c>
      <c r="L98" s="8">
        <v>0.17565315231132292</v>
      </c>
      <c r="M98" s="7">
        <v>11.230207299618938</v>
      </c>
      <c r="N98" s="8">
        <v>7.0958549481891353</v>
      </c>
      <c r="O98" s="8">
        <v>4.1343523514297509</v>
      </c>
      <c r="P98" s="8">
        <v>0</v>
      </c>
      <c r="Q98" s="174">
        <v>70.643390226889849</v>
      </c>
      <c r="R98" s="175">
        <v>45.906607088743485</v>
      </c>
      <c r="S98" s="175">
        <v>23.739087450269533</v>
      </c>
      <c r="T98" s="175">
        <v>0.99769568787791929</v>
      </c>
    </row>
    <row r="99" spans="1:20" s="19" customFormat="1" ht="14.1" customHeight="1" x14ac:dyDescent="0.25">
      <c r="A99" s="37"/>
      <c r="B99" s="38" t="s">
        <v>192</v>
      </c>
      <c r="C99" s="36"/>
      <c r="D99" s="6">
        <v>75783.370034728927</v>
      </c>
      <c r="E99" s="5">
        <v>100</v>
      </c>
      <c r="F99" s="7">
        <v>15.965485245854135</v>
      </c>
      <c r="G99" s="8">
        <v>4.4407239284092386</v>
      </c>
      <c r="H99" s="8">
        <v>0.48623689866074421</v>
      </c>
      <c r="I99" s="8">
        <v>1.3266517777980888</v>
      </c>
      <c r="J99" s="8">
        <v>7.2884363710355329</v>
      </c>
      <c r="K99" s="8">
        <v>2.26620272007847</v>
      </c>
      <c r="L99" s="8">
        <v>0.15723354987209251</v>
      </c>
      <c r="M99" s="7">
        <v>11.721091929712211</v>
      </c>
      <c r="N99" s="8">
        <v>8.5479707519767949</v>
      </c>
      <c r="O99" s="8">
        <v>3.1731211777352715</v>
      </c>
      <c r="P99" s="8">
        <v>0</v>
      </c>
      <c r="Q99" s="174">
        <v>72.313422824430219</v>
      </c>
      <c r="R99" s="175">
        <v>45.184154612064376</v>
      </c>
      <c r="S99" s="175">
        <v>25.829685666753466</v>
      </c>
      <c r="T99" s="175">
        <v>1.2995825456114825</v>
      </c>
    </row>
    <row r="100" spans="1:20" s="19" customFormat="1" ht="14.1" customHeight="1" x14ac:dyDescent="0.25">
      <c r="A100" s="37"/>
      <c r="B100" s="38" t="s">
        <v>194</v>
      </c>
      <c r="C100" s="36"/>
      <c r="D100" s="6">
        <v>74147.462713998742</v>
      </c>
      <c r="E100" s="5">
        <v>100</v>
      </c>
      <c r="F100" s="7">
        <v>14.27280407896597</v>
      </c>
      <c r="G100" s="8">
        <v>4.0275203647188151</v>
      </c>
      <c r="H100" s="8">
        <v>0.28636497624875257</v>
      </c>
      <c r="I100" s="8">
        <v>1.1742302989682536</v>
      </c>
      <c r="J100" s="8">
        <v>6.0112832603746931</v>
      </c>
      <c r="K100" s="8">
        <v>2.7179466947394846</v>
      </c>
      <c r="L100" s="8">
        <v>5.545848391599862E-2</v>
      </c>
      <c r="M100" s="7">
        <v>13.383618254874062</v>
      </c>
      <c r="N100" s="8">
        <v>10.013173382721703</v>
      </c>
      <c r="O100" s="8">
        <v>3.0227602535496967</v>
      </c>
      <c r="P100" s="8">
        <v>0.34768461860268685</v>
      </c>
      <c r="Q100" s="174">
        <v>72.343577666157813</v>
      </c>
      <c r="R100" s="175">
        <v>45.79666803669592</v>
      </c>
      <c r="S100" s="175">
        <v>24.975565701840498</v>
      </c>
      <c r="T100" s="175">
        <v>1.5713439276216727</v>
      </c>
    </row>
    <row r="101" spans="1:20" s="19" customFormat="1" ht="14.1" customHeight="1" x14ac:dyDescent="0.25">
      <c r="A101" s="37"/>
      <c r="B101" s="38" t="s">
        <v>205</v>
      </c>
      <c r="C101" s="36"/>
      <c r="D101" s="6">
        <f t="shared" ref="D101:T101" si="0">D$9</f>
        <v>70610.930339720711</v>
      </c>
      <c r="E101" s="5">
        <f t="shared" si="0"/>
        <v>100</v>
      </c>
      <c r="F101" s="7">
        <f t="shared" si="0"/>
        <v>15.205767606449871</v>
      </c>
      <c r="G101" s="8">
        <f t="shared" si="0"/>
        <v>4.6292845453421752</v>
      </c>
      <c r="H101" s="8">
        <f t="shared" si="0"/>
        <v>0.55362739272870909</v>
      </c>
      <c r="I101" s="8">
        <f t="shared" si="0"/>
        <v>1.4059963758843994</v>
      </c>
      <c r="J101" s="8">
        <f t="shared" si="0"/>
        <v>5.9872470280784711</v>
      </c>
      <c r="K101" s="8">
        <f t="shared" si="0"/>
        <v>2.5465728986102731</v>
      </c>
      <c r="L101" s="8">
        <f t="shared" si="0"/>
        <v>8.3039365805738022E-2</v>
      </c>
      <c r="M101" s="7">
        <f t="shared" si="0"/>
        <v>12.801645008640049</v>
      </c>
      <c r="N101" s="8">
        <f t="shared" si="0"/>
        <v>9.9077953436217232</v>
      </c>
      <c r="O101" s="8">
        <f t="shared" si="0"/>
        <v>2.733556183954108</v>
      </c>
      <c r="P101" s="8">
        <f t="shared" si="0"/>
        <v>0.160293481064296</v>
      </c>
      <c r="Q101" s="174">
        <f t="shared" si="0"/>
        <v>71.99258738491406</v>
      </c>
      <c r="R101" s="175">
        <f t="shared" si="0"/>
        <v>43.708487390938558</v>
      </c>
      <c r="S101" s="175">
        <f t="shared" si="0"/>
        <v>26.568068513953992</v>
      </c>
      <c r="T101" s="175">
        <f t="shared" si="0"/>
        <v>1.7160314800180161</v>
      </c>
    </row>
    <row r="102" spans="1:20" s="151" customFormat="1" ht="3.75" customHeight="1" x14ac:dyDescent="0.25">
      <c r="A102" s="39"/>
      <c r="B102" s="40"/>
      <c r="C102" s="82"/>
      <c r="D102" s="147"/>
      <c r="E102" s="148"/>
      <c r="F102" s="149"/>
      <c r="G102" s="150"/>
      <c r="H102" s="150"/>
      <c r="I102" s="150"/>
      <c r="J102" s="150"/>
      <c r="K102" s="150"/>
      <c r="L102" s="150"/>
      <c r="M102" s="149"/>
      <c r="N102" s="150"/>
      <c r="O102" s="150"/>
      <c r="P102" s="150"/>
      <c r="Q102" s="149"/>
      <c r="R102" s="150"/>
      <c r="S102" s="150"/>
      <c r="T102" s="150"/>
    </row>
  </sheetData>
  <mergeCells count="18">
    <mergeCell ref="R7:R8"/>
    <mergeCell ref="S7:S8"/>
    <mergeCell ref="Q6:Q8"/>
    <mergeCell ref="T7:T8"/>
    <mergeCell ref="N7:N8"/>
    <mergeCell ref="A5:C8"/>
    <mergeCell ref="E5:E8"/>
    <mergeCell ref="F6:F8"/>
    <mergeCell ref="M6:M8"/>
    <mergeCell ref="P7:P8"/>
    <mergeCell ref="O7:O8"/>
    <mergeCell ref="K7:K8"/>
    <mergeCell ref="L7:L8"/>
    <mergeCell ref="I7:I8"/>
    <mergeCell ref="J7:J8"/>
    <mergeCell ref="D5:D8"/>
    <mergeCell ref="G7:G8"/>
    <mergeCell ref="H7:H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56" max="16383" man="1"/>
  </rowBreaks>
  <colBreaks count="1" manualBreakCount="1">
    <brk id="12" max="10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27-89F8-4F7B-A9F8-4AB4765A37E3}">
  <sheetPr codeName="工作表28"/>
  <dimension ref="A1:T98"/>
  <sheetViews>
    <sheetView showGridLines="0" view="pageBreakPreview" zoomScale="70" zoomScaleNormal="70" zoomScaleSheetLayoutView="70" workbookViewId="0">
      <selection activeCell="L5" sqref="L5"/>
    </sheetView>
  </sheetViews>
  <sheetFormatPr defaultColWidth="9" defaultRowHeight="11.1" customHeight="1" x14ac:dyDescent="0.25"/>
  <cols>
    <col min="1" max="1" width="0.75" style="18" customWidth="1"/>
    <col min="2" max="2" width="15" style="44" customWidth="1"/>
    <col min="3" max="3" width="1.125" style="45" customWidth="1"/>
    <col min="4" max="4" width="9.125" style="46" customWidth="1"/>
    <col min="5" max="20" width="9.125" style="47" customWidth="1"/>
    <col min="21" max="16384" width="9" style="46"/>
  </cols>
  <sheetData>
    <row r="1" spans="1:20" s="14" customFormat="1" ht="22.15" customHeight="1" x14ac:dyDescent="0.25">
      <c r="A1" s="21" t="s">
        <v>265</v>
      </c>
      <c r="B1" s="49"/>
      <c r="C1" s="49"/>
      <c r="D1" s="49"/>
      <c r="E1" s="92" t="s">
        <v>266</v>
      </c>
      <c r="F1" s="152" t="s">
        <v>264</v>
      </c>
      <c r="G1" s="49"/>
      <c r="H1" s="49"/>
      <c r="I1" s="49"/>
      <c r="J1" s="49"/>
      <c r="K1" s="17"/>
      <c r="L1" s="22"/>
      <c r="M1" s="291" t="s">
        <v>166</v>
      </c>
      <c r="N1" s="291"/>
      <c r="O1" s="291"/>
      <c r="P1" s="291"/>
      <c r="Q1" s="291"/>
      <c r="R1" s="291"/>
      <c r="S1" s="291"/>
      <c r="T1" s="291"/>
    </row>
    <row r="2" spans="1:20" s="14" customFormat="1" ht="16.149999999999999" customHeight="1" x14ac:dyDescent="0.25">
      <c r="A2" s="22"/>
      <c r="B2" s="22"/>
      <c r="C2" s="22"/>
      <c r="D2" s="22"/>
      <c r="E2" s="22"/>
      <c r="F2" s="10" t="s">
        <v>280</v>
      </c>
      <c r="G2" s="22"/>
      <c r="H2" s="22"/>
      <c r="I2" s="22"/>
      <c r="J2" s="22"/>
      <c r="K2" s="17"/>
      <c r="L2" s="22"/>
      <c r="M2" s="10" t="s">
        <v>280</v>
      </c>
      <c r="N2" s="17"/>
      <c r="Q2" s="10"/>
      <c r="R2" s="17"/>
      <c r="S2" s="17"/>
      <c r="T2" s="17"/>
    </row>
    <row r="3" spans="1:20" s="19" customFormat="1" ht="13.5" customHeight="1" x14ac:dyDescent="0.25">
      <c r="A3" s="48" t="s">
        <v>268</v>
      </c>
      <c r="B3" s="48"/>
      <c r="C3" s="48"/>
      <c r="D3" s="48"/>
      <c r="E3" s="48" t="s">
        <v>269</v>
      </c>
      <c r="F3" s="44" t="s">
        <v>267</v>
      </c>
      <c r="G3" s="48"/>
      <c r="H3" s="48"/>
      <c r="I3" s="48"/>
      <c r="J3" s="48"/>
      <c r="L3" s="48"/>
      <c r="M3" s="44" t="s">
        <v>267</v>
      </c>
    </row>
    <row r="4" spans="1:20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7"/>
      <c r="J4" s="27"/>
      <c r="K4" s="27"/>
      <c r="L4" s="76" t="s">
        <v>160</v>
      </c>
      <c r="M4" s="27"/>
      <c r="N4" s="27"/>
      <c r="Q4" s="27"/>
      <c r="R4" s="27"/>
      <c r="S4" s="27"/>
      <c r="T4" s="76" t="s">
        <v>160</v>
      </c>
    </row>
    <row r="5" spans="1:20" s="19" customFormat="1" ht="6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s="19" customFormat="1" ht="6.75" customHeight="1" x14ac:dyDescent="0.25">
      <c r="A6" s="260"/>
      <c r="B6" s="260"/>
      <c r="C6" s="261"/>
      <c r="D6" s="261"/>
      <c r="E6" s="265"/>
      <c r="F6" s="287" t="s">
        <v>177</v>
      </c>
      <c r="G6" s="52"/>
      <c r="H6" s="52"/>
      <c r="I6" s="52"/>
      <c r="J6" s="52"/>
      <c r="K6" s="52"/>
      <c r="M6" s="290" t="s">
        <v>89</v>
      </c>
      <c r="N6" s="53"/>
      <c r="O6" s="53"/>
      <c r="P6" s="53"/>
      <c r="Q6" s="290" t="s">
        <v>90</v>
      </c>
      <c r="R6" s="53"/>
      <c r="S6" s="53"/>
      <c r="T6" s="53"/>
    </row>
    <row r="7" spans="1:20" s="19" customFormat="1" ht="11.25" customHeight="1" x14ac:dyDescent="0.25">
      <c r="A7" s="260"/>
      <c r="B7" s="260"/>
      <c r="C7" s="261"/>
      <c r="D7" s="261"/>
      <c r="E7" s="265"/>
      <c r="F7" s="288"/>
      <c r="G7" s="270" t="s">
        <v>14</v>
      </c>
      <c r="H7" s="270" t="s">
        <v>15</v>
      </c>
      <c r="I7" s="270" t="s">
        <v>13</v>
      </c>
      <c r="J7" s="270" t="s">
        <v>229</v>
      </c>
      <c r="K7" s="270" t="s">
        <v>228</v>
      </c>
      <c r="L7" s="272" t="s">
        <v>230</v>
      </c>
      <c r="M7" s="288"/>
      <c r="N7" s="270" t="s">
        <v>16</v>
      </c>
      <c r="O7" s="270" t="s">
        <v>231</v>
      </c>
      <c r="P7" s="272" t="s">
        <v>197</v>
      </c>
      <c r="Q7" s="288"/>
      <c r="R7" s="270" t="s">
        <v>17</v>
      </c>
      <c r="S7" s="270" t="s">
        <v>18</v>
      </c>
      <c r="T7" s="272" t="s">
        <v>196</v>
      </c>
    </row>
    <row r="8" spans="1:20" s="19" customFormat="1" ht="28.5" customHeight="1" x14ac:dyDescent="0.25">
      <c r="A8" s="262"/>
      <c r="B8" s="262"/>
      <c r="C8" s="263"/>
      <c r="D8" s="263"/>
      <c r="E8" s="266"/>
      <c r="F8" s="289"/>
      <c r="G8" s="271" t="s">
        <v>64</v>
      </c>
      <c r="H8" s="271" t="s">
        <v>66</v>
      </c>
      <c r="I8" s="271" t="s">
        <v>65</v>
      </c>
      <c r="J8" s="271" t="s">
        <v>68</v>
      </c>
      <c r="K8" s="271"/>
      <c r="L8" s="273" t="s">
        <v>67</v>
      </c>
      <c r="M8" s="289"/>
      <c r="N8" s="271"/>
      <c r="O8" s="271"/>
      <c r="P8" s="273"/>
      <c r="Q8" s="289"/>
      <c r="R8" s="271"/>
      <c r="S8" s="271"/>
      <c r="T8" s="273"/>
    </row>
    <row r="9" spans="1:20" s="18" customFormat="1" ht="15" customHeight="1" x14ac:dyDescent="0.25">
      <c r="A9" s="33" t="s">
        <v>22</v>
      </c>
      <c r="B9" s="54"/>
      <c r="C9" s="55"/>
      <c r="D9" s="56">
        <v>35213.826749168205</v>
      </c>
      <c r="E9" s="57">
        <v>100</v>
      </c>
      <c r="F9" s="58">
        <v>16.122391073508101</v>
      </c>
      <c r="G9" s="58">
        <v>6.0595320644366666</v>
      </c>
      <c r="H9" s="58">
        <v>0.30060720511988004</v>
      </c>
      <c r="I9" s="58">
        <v>1.3617936797628178</v>
      </c>
      <c r="J9" s="58">
        <v>7.0310710939878254</v>
      </c>
      <c r="K9" s="58">
        <v>1.2983726803077644</v>
      </c>
      <c r="L9" s="58">
        <v>7.1014349892992254E-2</v>
      </c>
      <c r="M9" s="58">
        <v>8.1961607924401871</v>
      </c>
      <c r="N9" s="58">
        <v>6.0140260641194248</v>
      </c>
      <c r="O9" s="58">
        <v>2.0011246736959634</v>
      </c>
      <c r="P9" s="58">
        <v>0.18101005462477734</v>
      </c>
      <c r="Q9" s="58">
        <v>75.681448134050385</v>
      </c>
      <c r="R9" s="58">
        <v>46.695847505832987</v>
      </c>
      <c r="S9" s="58">
        <v>27.225915812208992</v>
      </c>
      <c r="T9" s="58">
        <v>1.7596848160079903</v>
      </c>
    </row>
    <row r="10" spans="1:20" s="19" customFormat="1" ht="15" customHeight="1" x14ac:dyDescent="0.25">
      <c r="A10" s="37" t="s">
        <v>23</v>
      </c>
      <c r="B10" s="38"/>
      <c r="C10" s="36" t="str">
        <f>'C08'!C10</f>
        <v>***</v>
      </c>
      <c r="D10" s="60"/>
      <c r="E10" s="61"/>
      <c r="F10" s="58"/>
      <c r="G10" s="62"/>
      <c r="H10" s="62"/>
      <c r="I10" s="62"/>
      <c r="J10" s="62"/>
      <c r="K10" s="62"/>
      <c r="L10" s="62"/>
      <c r="M10" s="58"/>
      <c r="N10" s="62"/>
      <c r="O10" s="62"/>
      <c r="P10" s="62"/>
      <c r="Q10" s="58"/>
      <c r="R10" s="62"/>
      <c r="S10" s="62"/>
      <c r="T10" s="62"/>
    </row>
    <row r="11" spans="1:20" s="19" customFormat="1" ht="15" customHeight="1" x14ac:dyDescent="0.25">
      <c r="A11" s="37"/>
      <c r="B11" s="38" t="s">
        <v>24</v>
      </c>
      <c r="C11" s="36">
        <f>'C08'!C11</f>
        <v>0</v>
      </c>
      <c r="D11" s="60">
        <v>6920.0756949890465</v>
      </c>
      <c r="E11" s="61">
        <v>100</v>
      </c>
      <c r="F11" s="58">
        <v>30.246852238474911</v>
      </c>
      <c r="G11" s="62">
        <v>14.450555432051146</v>
      </c>
      <c r="H11" s="62">
        <v>2.2771099335667785E-2</v>
      </c>
      <c r="I11" s="62">
        <v>1.6705502724218921</v>
      </c>
      <c r="J11" s="62">
        <v>11.284335890047355</v>
      </c>
      <c r="K11" s="62">
        <v>2.8186395446188497</v>
      </c>
      <c r="L11" s="62">
        <v>0</v>
      </c>
      <c r="M11" s="58">
        <v>11.072768788517051</v>
      </c>
      <c r="N11" s="62">
        <v>10.174458509979564</v>
      </c>
      <c r="O11" s="62">
        <v>0.70310477733957011</v>
      </c>
      <c r="P11" s="62">
        <v>0.19520550119791685</v>
      </c>
      <c r="Q11" s="58">
        <v>58.680378973008033</v>
      </c>
      <c r="R11" s="62">
        <v>40.921040456415035</v>
      </c>
      <c r="S11" s="62">
        <v>17.341701714004849</v>
      </c>
      <c r="T11" s="62">
        <v>0.41763680258817742</v>
      </c>
    </row>
    <row r="12" spans="1:20" s="19" customFormat="1" ht="15" customHeight="1" x14ac:dyDescent="0.25">
      <c r="A12" s="37"/>
      <c r="B12" s="38" t="s">
        <v>25</v>
      </c>
      <c r="C12" s="36">
        <f>'C08'!C12</f>
        <v>0</v>
      </c>
      <c r="D12" s="60">
        <v>4007.8580672705039</v>
      </c>
      <c r="E12" s="61">
        <v>100</v>
      </c>
      <c r="F12" s="58">
        <v>38.873937396606529</v>
      </c>
      <c r="G12" s="62">
        <v>20.067805025471525</v>
      </c>
      <c r="H12" s="62">
        <v>0.16806604683717891</v>
      </c>
      <c r="I12" s="62">
        <v>0.70663223610033488</v>
      </c>
      <c r="J12" s="62">
        <v>15.41236284979367</v>
      </c>
      <c r="K12" s="62">
        <v>2.5190712384039164</v>
      </c>
      <c r="L12" s="62">
        <v>0</v>
      </c>
      <c r="M12" s="58">
        <v>18.359932204824691</v>
      </c>
      <c r="N12" s="62">
        <v>15.041630872676702</v>
      </c>
      <c r="O12" s="62">
        <v>3.2877731255582487</v>
      </c>
      <c r="P12" s="62">
        <v>3.0528206589740297E-2</v>
      </c>
      <c r="Q12" s="58">
        <v>42.766130398568158</v>
      </c>
      <c r="R12" s="62">
        <v>24.146634353636415</v>
      </c>
      <c r="S12" s="62">
        <v>17.790577007395097</v>
      </c>
      <c r="T12" s="62">
        <v>0.82891903753662688</v>
      </c>
    </row>
    <row r="13" spans="1:20" s="19" customFormat="1" ht="15" customHeight="1" x14ac:dyDescent="0.25">
      <c r="A13" s="37"/>
      <c r="B13" s="38" t="s">
        <v>26</v>
      </c>
      <c r="C13" s="36">
        <f>'C08'!C13</f>
        <v>0</v>
      </c>
      <c r="D13" s="60">
        <v>3877.2483470137272</v>
      </c>
      <c r="E13" s="61">
        <v>100</v>
      </c>
      <c r="F13" s="58">
        <v>15.137300293666303</v>
      </c>
      <c r="G13" s="62">
        <v>4.3246435694304592</v>
      </c>
      <c r="H13" s="62">
        <v>0.34299103747164816</v>
      </c>
      <c r="I13" s="62">
        <v>2.2335810321387957</v>
      </c>
      <c r="J13" s="62">
        <v>7.6714865171216617</v>
      </c>
      <c r="K13" s="62">
        <v>0.564598137503735</v>
      </c>
      <c r="L13" s="62">
        <v>0</v>
      </c>
      <c r="M13" s="58">
        <v>8.8218662500694869</v>
      </c>
      <c r="N13" s="62">
        <v>5.7806223363992926</v>
      </c>
      <c r="O13" s="62">
        <v>2.8348368006268583</v>
      </c>
      <c r="P13" s="62">
        <v>0.20640711304333614</v>
      </c>
      <c r="Q13" s="58">
        <v>76.040833456264536</v>
      </c>
      <c r="R13" s="62">
        <v>44.488667865985555</v>
      </c>
      <c r="S13" s="62">
        <v>30.362059701881989</v>
      </c>
      <c r="T13" s="62">
        <v>1.1901058883973352</v>
      </c>
    </row>
    <row r="14" spans="1:20" s="19" customFormat="1" ht="15" customHeight="1" x14ac:dyDescent="0.25">
      <c r="A14" s="37"/>
      <c r="B14" s="38" t="s">
        <v>27</v>
      </c>
      <c r="C14" s="36">
        <f>'C08'!C14</f>
        <v>0</v>
      </c>
      <c r="D14" s="60">
        <v>3871.2029141589915</v>
      </c>
      <c r="E14" s="61">
        <v>100</v>
      </c>
      <c r="F14" s="58">
        <v>6.4730448389170672</v>
      </c>
      <c r="G14" s="62">
        <v>0.31627761278408284</v>
      </c>
      <c r="H14" s="62">
        <v>0</v>
      </c>
      <c r="I14" s="62">
        <v>0.36323717736731687</v>
      </c>
      <c r="J14" s="62">
        <v>5.6492054636549565</v>
      </c>
      <c r="K14" s="62">
        <v>0.14432458511070781</v>
      </c>
      <c r="L14" s="62">
        <v>0</v>
      </c>
      <c r="M14" s="58">
        <v>5.2892632960534458</v>
      </c>
      <c r="N14" s="62">
        <v>3.6680567076914787</v>
      </c>
      <c r="O14" s="62">
        <v>1.376973804993723</v>
      </c>
      <c r="P14" s="62">
        <v>0.24423278336824336</v>
      </c>
      <c r="Q14" s="58">
        <v>88.237691865029632</v>
      </c>
      <c r="R14" s="62">
        <v>53.04449832492643</v>
      </c>
      <c r="S14" s="62">
        <v>34.197568821043397</v>
      </c>
      <c r="T14" s="62">
        <v>0.99562471905985683</v>
      </c>
    </row>
    <row r="15" spans="1:20" s="19" customFormat="1" ht="15" customHeight="1" x14ac:dyDescent="0.25">
      <c r="A15" s="37"/>
      <c r="B15" s="38" t="s">
        <v>28</v>
      </c>
      <c r="C15" s="36">
        <f>'C08'!C15</f>
        <v>0</v>
      </c>
      <c r="D15" s="60">
        <v>2784.7920126969452</v>
      </c>
      <c r="E15" s="61">
        <v>100</v>
      </c>
      <c r="F15" s="58">
        <v>3.360984084327804</v>
      </c>
      <c r="G15" s="62">
        <v>0</v>
      </c>
      <c r="H15" s="62">
        <v>3.9170840087739384E-2</v>
      </c>
      <c r="I15" s="62">
        <v>1.2212883336198646</v>
      </c>
      <c r="J15" s="62">
        <v>2.0224054684965602</v>
      </c>
      <c r="K15" s="62">
        <v>7.8119442123639887E-2</v>
      </c>
      <c r="L15" s="62">
        <v>0</v>
      </c>
      <c r="M15" s="58">
        <v>4.7428754000160138</v>
      </c>
      <c r="N15" s="62">
        <v>1.174723086507065</v>
      </c>
      <c r="O15" s="62">
        <v>2.9919054269501268</v>
      </c>
      <c r="P15" s="62">
        <v>0.57624688655882106</v>
      </c>
      <c r="Q15" s="58">
        <v>91.896140515655617</v>
      </c>
      <c r="R15" s="62">
        <v>58.92214222433644</v>
      </c>
      <c r="S15" s="62">
        <v>30.191014598383475</v>
      </c>
      <c r="T15" s="62">
        <v>2.7829836929355336</v>
      </c>
    </row>
    <row r="16" spans="1:20" s="19" customFormat="1" ht="15" customHeight="1" x14ac:dyDescent="0.25">
      <c r="A16" s="37"/>
      <c r="B16" s="38" t="s">
        <v>29</v>
      </c>
      <c r="C16" s="36">
        <f>'C08'!C16</f>
        <v>0</v>
      </c>
      <c r="D16" s="60">
        <v>4146.6654546992313</v>
      </c>
      <c r="E16" s="61">
        <v>100</v>
      </c>
      <c r="F16" s="58">
        <v>10.617575267593359</v>
      </c>
      <c r="G16" s="62">
        <v>2.5028032746149274</v>
      </c>
      <c r="H16" s="62">
        <v>1.5904575751258303</v>
      </c>
      <c r="I16" s="62">
        <v>1.4055626328876025</v>
      </c>
      <c r="J16" s="62">
        <v>2.1885441960205587</v>
      </c>
      <c r="K16" s="62">
        <v>2.3644783704698975</v>
      </c>
      <c r="L16" s="62">
        <v>0.56572921847453905</v>
      </c>
      <c r="M16" s="58">
        <v>4.3050085809377947</v>
      </c>
      <c r="N16" s="62">
        <v>2.5117779098902058</v>
      </c>
      <c r="O16" s="62">
        <v>1.6378313554976798</v>
      </c>
      <c r="P16" s="62">
        <v>0.15539931554991032</v>
      </c>
      <c r="Q16" s="58">
        <v>85.077416151468967</v>
      </c>
      <c r="R16" s="62">
        <v>59.632475984625934</v>
      </c>
      <c r="S16" s="62">
        <v>23.50823017569839</v>
      </c>
      <c r="T16" s="62">
        <v>1.9367099911446386</v>
      </c>
    </row>
    <row r="17" spans="1:20" s="19" customFormat="1" ht="15" customHeight="1" x14ac:dyDescent="0.25">
      <c r="A17" s="37"/>
      <c r="B17" s="38" t="s">
        <v>30</v>
      </c>
      <c r="C17" s="36">
        <f>'C08'!C17</f>
        <v>0</v>
      </c>
      <c r="D17" s="60">
        <v>610.82686228959471</v>
      </c>
      <c r="E17" s="61">
        <v>100</v>
      </c>
      <c r="F17" s="58">
        <v>7.9488054860820299</v>
      </c>
      <c r="G17" s="62">
        <v>0.60677775635905917</v>
      </c>
      <c r="H17" s="62">
        <v>0.14965160187259902</v>
      </c>
      <c r="I17" s="62">
        <v>1.5023954115455143</v>
      </c>
      <c r="J17" s="62">
        <v>5.3906775125596562</v>
      </c>
      <c r="K17" s="62">
        <v>0.29930320374519803</v>
      </c>
      <c r="L17" s="62">
        <v>0</v>
      </c>
      <c r="M17" s="58">
        <v>5.5304027494401646</v>
      </c>
      <c r="N17" s="62">
        <v>3.4113984349577526</v>
      </c>
      <c r="O17" s="62">
        <v>1.9152971423965186</v>
      </c>
      <c r="P17" s="62">
        <v>0.20370717208589426</v>
      </c>
      <c r="Q17" s="58">
        <v>86.520791764478076</v>
      </c>
      <c r="R17" s="62">
        <v>44.371179400517093</v>
      </c>
      <c r="S17" s="62">
        <v>40.468081549019843</v>
      </c>
      <c r="T17" s="62">
        <v>1.681530814941341</v>
      </c>
    </row>
    <row r="18" spans="1:20" s="19" customFormat="1" ht="15" customHeight="1" x14ac:dyDescent="0.25">
      <c r="A18" s="37"/>
      <c r="B18" s="38" t="s">
        <v>31</v>
      </c>
      <c r="C18" s="36">
        <f>'C08'!C18</f>
        <v>0</v>
      </c>
      <c r="D18" s="60">
        <v>926.35869961368053</v>
      </c>
      <c r="E18" s="61">
        <v>100</v>
      </c>
      <c r="F18" s="58">
        <v>6.9461381984647304</v>
      </c>
      <c r="G18" s="62">
        <v>0.25690804633882691</v>
      </c>
      <c r="H18" s="62">
        <v>0.50463149721775735</v>
      </c>
      <c r="I18" s="62">
        <v>1.0825355667269598</v>
      </c>
      <c r="J18" s="62">
        <v>3.0812735878930892</v>
      </c>
      <c r="K18" s="62">
        <v>2.0207895002881036</v>
      </c>
      <c r="L18" s="62">
        <v>0</v>
      </c>
      <c r="M18" s="58">
        <v>5.865061024961526</v>
      </c>
      <c r="N18" s="62">
        <v>5.2488143274651806</v>
      </c>
      <c r="O18" s="62">
        <v>0.61624669749634431</v>
      </c>
      <c r="P18" s="62">
        <v>0</v>
      </c>
      <c r="Q18" s="58">
        <v>87.188800776573927</v>
      </c>
      <c r="R18" s="62">
        <v>46.918573132608856</v>
      </c>
      <c r="S18" s="62">
        <v>39.232438701649478</v>
      </c>
      <c r="T18" s="62">
        <v>1.037788942315335</v>
      </c>
    </row>
    <row r="19" spans="1:20" s="19" customFormat="1" ht="15" customHeight="1" x14ac:dyDescent="0.25">
      <c r="A19" s="37"/>
      <c r="B19" s="38" t="s">
        <v>32</v>
      </c>
      <c r="C19" s="36">
        <f>'C08'!C19</f>
        <v>0</v>
      </c>
      <c r="D19" s="60">
        <v>722.96353260513649</v>
      </c>
      <c r="E19" s="61">
        <v>100</v>
      </c>
      <c r="F19" s="58">
        <v>7.9476698890301769</v>
      </c>
      <c r="G19" s="62">
        <v>0.11237090052730078</v>
      </c>
      <c r="H19" s="62">
        <v>9.8519349759355057E-2</v>
      </c>
      <c r="I19" s="62">
        <v>2.855165841557795</v>
      </c>
      <c r="J19" s="62">
        <v>4.8816137971857314</v>
      </c>
      <c r="K19" s="62">
        <v>0</v>
      </c>
      <c r="L19" s="62">
        <v>0</v>
      </c>
      <c r="M19" s="58">
        <v>4.7975633203295383</v>
      </c>
      <c r="N19" s="62">
        <v>2.1571137209923013</v>
      </c>
      <c r="O19" s="62">
        <v>2.4798272487144311</v>
      </c>
      <c r="P19" s="62">
        <v>0.16062235062280789</v>
      </c>
      <c r="Q19" s="58">
        <v>87.254766790640389</v>
      </c>
      <c r="R19" s="62">
        <v>41.73530203621096</v>
      </c>
      <c r="S19" s="62">
        <v>42.554883223927774</v>
      </c>
      <c r="T19" s="62">
        <v>2.9645815305019463</v>
      </c>
    </row>
    <row r="20" spans="1:20" s="19" customFormat="1" ht="15" customHeight="1" x14ac:dyDescent="0.25">
      <c r="A20" s="37"/>
      <c r="B20" s="38" t="s">
        <v>33</v>
      </c>
      <c r="C20" s="36">
        <f>'C08'!C20</f>
        <v>0</v>
      </c>
      <c r="D20" s="60">
        <v>1773.0394877771462</v>
      </c>
      <c r="E20" s="61">
        <v>100</v>
      </c>
      <c r="F20" s="58">
        <v>4.2227561199429502</v>
      </c>
      <c r="G20" s="62">
        <v>8.0961372979592605E-2</v>
      </c>
      <c r="H20" s="62">
        <v>8.0961372979592605E-2</v>
      </c>
      <c r="I20" s="62">
        <v>1.3834337803422057</v>
      </c>
      <c r="J20" s="62">
        <v>2.6773995936415602</v>
      </c>
      <c r="K20" s="62">
        <v>0</v>
      </c>
      <c r="L20" s="62">
        <v>0</v>
      </c>
      <c r="M20" s="58">
        <v>4.3684243967422853</v>
      </c>
      <c r="N20" s="62">
        <v>1.2693289955576617</v>
      </c>
      <c r="O20" s="62">
        <v>3.0990954011846239</v>
      </c>
      <c r="P20" s="62">
        <v>0</v>
      </c>
      <c r="Q20" s="58">
        <v>91.408819483314645</v>
      </c>
      <c r="R20" s="62">
        <v>52.786010736233031</v>
      </c>
      <c r="S20" s="62">
        <v>35.660575229738683</v>
      </c>
      <c r="T20" s="62">
        <v>2.9622335173432344</v>
      </c>
    </row>
    <row r="21" spans="1:20" s="19" customFormat="1" ht="15" customHeight="1" x14ac:dyDescent="0.25">
      <c r="A21" s="37"/>
      <c r="B21" s="38" t="s">
        <v>34</v>
      </c>
      <c r="C21" s="36">
        <f>'C08'!C21</f>
        <v>0</v>
      </c>
      <c r="D21" s="60">
        <v>602.60150680615038</v>
      </c>
      <c r="E21" s="61">
        <v>100</v>
      </c>
      <c r="F21" s="58">
        <v>3.5357017745106027</v>
      </c>
      <c r="G21" s="62">
        <v>0</v>
      </c>
      <c r="H21" s="62">
        <v>0.18392764950038348</v>
      </c>
      <c r="I21" s="62">
        <v>6.1411615043899449E-2</v>
      </c>
      <c r="J21" s="62">
        <v>3.013432601964682</v>
      </c>
      <c r="K21" s="62">
        <v>0.27692990800163869</v>
      </c>
      <c r="L21" s="62">
        <v>0</v>
      </c>
      <c r="M21" s="58">
        <v>4.8127156941681406</v>
      </c>
      <c r="N21" s="62">
        <v>4.5340130399784915</v>
      </c>
      <c r="O21" s="62">
        <v>0.1854996953132857</v>
      </c>
      <c r="P21" s="62">
        <v>9.3202958876362985E-2</v>
      </c>
      <c r="Q21" s="58">
        <v>91.651582531321523</v>
      </c>
      <c r="R21" s="62">
        <v>47.572502363072829</v>
      </c>
      <c r="S21" s="62">
        <v>35.735584190565511</v>
      </c>
      <c r="T21" s="62">
        <v>8.3434959776829523</v>
      </c>
    </row>
    <row r="22" spans="1:20" s="19" customFormat="1" ht="15" customHeight="1" x14ac:dyDescent="0.25">
      <c r="A22" s="37"/>
      <c r="B22" s="38" t="s">
        <v>35</v>
      </c>
      <c r="C22" s="36">
        <f>'C08'!C22</f>
        <v>0</v>
      </c>
      <c r="D22" s="60">
        <v>866.42198146690657</v>
      </c>
      <c r="E22" s="61">
        <v>100</v>
      </c>
      <c r="F22" s="58">
        <v>6.1565885335398063</v>
      </c>
      <c r="G22" s="62">
        <v>0</v>
      </c>
      <c r="H22" s="62">
        <v>0</v>
      </c>
      <c r="I22" s="62">
        <v>0.755979459293872</v>
      </c>
      <c r="J22" s="62">
        <v>5.4006090742459349</v>
      </c>
      <c r="K22" s="62">
        <v>0</v>
      </c>
      <c r="L22" s="62">
        <v>0</v>
      </c>
      <c r="M22" s="58">
        <v>6.6545690633165417</v>
      </c>
      <c r="N22" s="62">
        <v>1.2201546322464605</v>
      </c>
      <c r="O22" s="62">
        <v>5.2287763688412854</v>
      </c>
      <c r="P22" s="62">
        <v>0.20563806222879577</v>
      </c>
      <c r="Q22" s="58">
        <v>87.188842403143738</v>
      </c>
      <c r="R22" s="62">
        <v>46.760022407697377</v>
      </c>
      <c r="S22" s="62">
        <v>34.909697189771741</v>
      </c>
      <c r="T22" s="62">
        <v>5.5191228056746011</v>
      </c>
    </row>
    <row r="23" spans="1:20" s="19" customFormat="1" ht="15" customHeight="1" x14ac:dyDescent="0.25">
      <c r="A23" s="37"/>
      <c r="B23" s="38" t="s">
        <v>36</v>
      </c>
      <c r="C23" s="36">
        <f>'C08'!C23</f>
        <v>0</v>
      </c>
      <c r="D23" s="60">
        <v>593.39966659245772</v>
      </c>
      <c r="E23" s="61">
        <v>100</v>
      </c>
      <c r="F23" s="58">
        <v>1.6627847582525779</v>
      </c>
      <c r="G23" s="62">
        <v>0</v>
      </c>
      <c r="H23" s="62">
        <v>0.15112536932676576</v>
      </c>
      <c r="I23" s="62">
        <v>0.34174728050004965</v>
      </c>
      <c r="J23" s="62">
        <v>0.93770135534043275</v>
      </c>
      <c r="K23" s="62">
        <v>0.23221075308532974</v>
      </c>
      <c r="L23" s="62">
        <v>0</v>
      </c>
      <c r="M23" s="58">
        <v>2.3182477706437252</v>
      </c>
      <c r="N23" s="62">
        <v>0.98139032088243683</v>
      </c>
      <c r="O23" s="62">
        <v>1.2340313467014652</v>
      </c>
      <c r="P23" s="62">
        <v>0.10282610305982422</v>
      </c>
      <c r="Q23" s="58">
        <v>96.018967471103906</v>
      </c>
      <c r="R23" s="62">
        <v>47.984046601790411</v>
      </c>
      <c r="S23" s="62">
        <v>41.288338251701518</v>
      </c>
      <c r="T23" s="62">
        <v>6.7465826176118178</v>
      </c>
    </row>
    <row r="24" spans="1:20" s="19" customFormat="1" ht="15" customHeight="1" x14ac:dyDescent="0.25">
      <c r="A24" s="37"/>
      <c r="B24" s="38" t="s">
        <v>37</v>
      </c>
      <c r="C24" s="36">
        <f>'C08'!C24</f>
        <v>0</v>
      </c>
      <c r="D24" s="60">
        <v>959.45139154124627</v>
      </c>
      <c r="E24" s="61">
        <v>100</v>
      </c>
      <c r="F24" s="58">
        <v>5.0277961292143063</v>
      </c>
      <c r="G24" s="62">
        <v>0.35326246075548257</v>
      </c>
      <c r="H24" s="62">
        <v>0.22235281256312545</v>
      </c>
      <c r="I24" s="62">
        <v>0.57934835091771453</v>
      </c>
      <c r="J24" s="62">
        <v>3.8728325049779815</v>
      </c>
      <c r="K24" s="62">
        <v>0</v>
      </c>
      <c r="L24" s="62">
        <v>0</v>
      </c>
      <c r="M24" s="58">
        <v>2.5920810295480927</v>
      </c>
      <c r="N24" s="62">
        <v>0.5835867931839066</v>
      </c>
      <c r="O24" s="62">
        <v>1.8782884332250811</v>
      </c>
      <c r="P24" s="62">
        <v>0.13020580313910543</v>
      </c>
      <c r="Q24" s="58">
        <v>92.380122841237693</v>
      </c>
      <c r="R24" s="62">
        <v>59.118687494081236</v>
      </c>
      <c r="S24" s="62">
        <v>28.627032636469668</v>
      </c>
      <c r="T24" s="62">
        <v>4.6344027106866452</v>
      </c>
    </row>
    <row r="25" spans="1:20" s="19" customFormat="1" ht="15" customHeight="1" x14ac:dyDescent="0.25">
      <c r="A25" s="37"/>
      <c r="B25" s="38" t="s">
        <v>38</v>
      </c>
      <c r="C25" s="36">
        <f>'C08'!C25</f>
        <v>0</v>
      </c>
      <c r="D25" s="60">
        <v>240.21603464097009</v>
      </c>
      <c r="E25" s="61">
        <v>100</v>
      </c>
      <c r="F25" s="58">
        <v>6.5217768448549958</v>
      </c>
      <c r="G25" s="62">
        <v>0</v>
      </c>
      <c r="H25" s="62">
        <v>0</v>
      </c>
      <c r="I25" s="62">
        <v>2.5063593528130643</v>
      </c>
      <c r="J25" s="62">
        <v>3.1737325123546287</v>
      </c>
      <c r="K25" s="62">
        <v>0.84168497968730416</v>
      </c>
      <c r="L25" s="62">
        <v>0</v>
      </c>
      <c r="M25" s="58">
        <v>4.5311311271922268</v>
      </c>
      <c r="N25" s="62">
        <v>1.5264195601513089</v>
      </c>
      <c r="O25" s="62">
        <v>2.8332179672364379</v>
      </c>
      <c r="P25" s="62">
        <v>0.1714935998044804</v>
      </c>
      <c r="Q25" s="58">
        <v>88.94709202795292</v>
      </c>
      <c r="R25" s="62">
        <v>51.871352478780139</v>
      </c>
      <c r="S25" s="62">
        <v>33.014850879603337</v>
      </c>
      <c r="T25" s="62">
        <v>4.0608886695693229</v>
      </c>
    </row>
    <row r="26" spans="1:20" s="19" customFormat="1" ht="15" customHeight="1" x14ac:dyDescent="0.25">
      <c r="A26" s="37"/>
      <c r="B26" s="38" t="s">
        <v>39</v>
      </c>
      <c r="C26" s="36">
        <f>'C08'!C26</f>
        <v>0</v>
      </c>
      <c r="D26" s="60">
        <v>405.83409597060734</v>
      </c>
      <c r="E26" s="61">
        <v>100</v>
      </c>
      <c r="F26" s="58">
        <v>2.9075822705176018</v>
      </c>
      <c r="G26" s="62">
        <v>0</v>
      </c>
      <c r="H26" s="62">
        <v>0</v>
      </c>
      <c r="I26" s="62">
        <v>0.70382659357528066</v>
      </c>
      <c r="J26" s="62">
        <v>1.8733347555537729</v>
      </c>
      <c r="K26" s="62">
        <v>0.33042092138854801</v>
      </c>
      <c r="L26" s="62">
        <v>0</v>
      </c>
      <c r="M26" s="58">
        <v>6.9242489993388494</v>
      </c>
      <c r="N26" s="62">
        <v>4.9012216283689316</v>
      </c>
      <c r="O26" s="62">
        <v>1.8165465320750194</v>
      </c>
      <c r="P26" s="62">
        <v>0.20648083889489741</v>
      </c>
      <c r="Q26" s="58">
        <v>90.168168730143449</v>
      </c>
      <c r="R26" s="62">
        <v>50.732640684973354</v>
      </c>
      <c r="S26" s="62">
        <v>36.301442284342045</v>
      </c>
      <c r="T26" s="62">
        <v>3.1340857608280288</v>
      </c>
    </row>
    <row r="27" spans="1:20" s="19" customFormat="1" ht="15" customHeight="1" x14ac:dyDescent="0.25">
      <c r="A27" s="37"/>
      <c r="B27" s="38" t="s">
        <v>40</v>
      </c>
      <c r="C27" s="36">
        <f>'C08'!C27</f>
        <v>0</v>
      </c>
      <c r="D27" s="60">
        <v>121.20684585453944</v>
      </c>
      <c r="E27" s="61">
        <v>100</v>
      </c>
      <c r="F27" s="58">
        <v>4.99807062859455</v>
      </c>
      <c r="G27" s="62">
        <v>0</v>
      </c>
      <c r="H27" s="62">
        <v>0</v>
      </c>
      <c r="I27" s="62">
        <v>0</v>
      </c>
      <c r="J27" s="62">
        <v>3.9291455223705638</v>
      </c>
      <c r="K27" s="62">
        <v>0.28500717106310774</v>
      </c>
      <c r="L27" s="62">
        <v>0.78391793516088226</v>
      </c>
      <c r="M27" s="58">
        <v>3.2780231346824453</v>
      </c>
      <c r="N27" s="62">
        <v>2.1392925705409089</v>
      </c>
      <c r="O27" s="62">
        <v>1.1387305641415391</v>
      </c>
      <c r="P27" s="62">
        <v>0</v>
      </c>
      <c r="Q27" s="58">
        <v>91.723906236722826</v>
      </c>
      <c r="R27" s="62">
        <v>66.758746672628178</v>
      </c>
      <c r="S27" s="62">
        <v>23.813014799725803</v>
      </c>
      <c r="T27" s="62">
        <v>1.1521447643687417</v>
      </c>
    </row>
    <row r="28" spans="1:20" s="19" customFormat="1" ht="15" customHeight="1" x14ac:dyDescent="0.25">
      <c r="A28" s="37"/>
      <c r="B28" s="38" t="s">
        <v>41</v>
      </c>
      <c r="C28" s="36">
        <f>'C08'!C28</f>
        <v>0</v>
      </c>
      <c r="D28" s="60">
        <v>602.72764306347563</v>
      </c>
      <c r="E28" s="61">
        <v>100</v>
      </c>
      <c r="F28" s="58">
        <v>30.908366961207157</v>
      </c>
      <c r="G28" s="62">
        <v>5.4269100926019611</v>
      </c>
      <c r="H28" s="62">
        <v>9.5084029076342336E-2</v>
      </c>
      <c r="I28" s="62">
        <v>6.5046279834487581</v>
      </c>
      <c r="J28" s="62">
        <v>18.357176332675071</v>
      </c>
      <c r="K28" s="62">
        <v>0.5245685234050621</v>
      </c>
      <c r="L28" s="62">
        <v>0</v>
      </c>
      <c r="M28" s="58">
        <v>10.8477079517553</v>
      </c>
      <c r="N28" s="62">
        <v>10.51823415865541</v>
      </c>
      <c r="O28" s="62">
        <v>0.29837861248565029</v>
      </c>
      <c r="P28" s="62">
        <v>3.1095180614245536E-2</v>
      </c>
      <c r="Q28" s="58">
        <v>58.243925087037212</v>
      </c>
      <c r="R28" s="62">
        <v>34.743688912202856</v>
      </c>
      <c r="S28" s="62">
        <v>22.221814866583411</v>
      </c>
      <c r="T28" s="62">
        <v>1.2784213082509519</v>
      </c>
    </row>
    <row r="29" spans="1:20" s="19" customFormat="1" ht="15" customHeight="1" x14ac:dyDescent="0.25">
      <c r="A29" s="37"/>
      <c r="B29" s="38" t="s">
        <v>42</v>
      </c>
      <c r="C29" s="36">
        <f>'C08'!C29</f>
        <v>0</v>
      </c>
      <c r="D29" s="60">
        <v>655.18034934227239</v>
      </c>
      <c r="E29" s="61">
        <v>100</v>
      </c>
      <c r="F29" s="58">
        <v>4.8741139479416606</v>
      </c>
      <c r="G29" s="62">
        <v>0.20907395566213965</v>
      </c>
      <c r="H29" s="62">
        <v>0.30164689338413159</v>
      </c>
      <c r="I29" s="62">
        <v>1.5245882785813238</v>
      </c>
      <c r="J29" s="62">
        <v>2.7789062761976178</v>
      </c>
      <c r="K29" s="62">
        <v>5.9898544116450021E-2</v>
      </c>
      <c r="L29" s="62">
        <v>0</v>
      </c>
      <c r="M29" s="58">
        <v>9.871138460384774</v>
      </c>
      <c r="N29" s="62">
        <v>8.1460736878756581</v>
      </c>
      <c r="O29" s="62">
        <v>1.7250647725091144</v>
      </c>
      <c r="P29" s="62">
        <v>0</v>
      </c>
      <c r="Q29" s="58">
        <v>85.25474759167345</v>
      </c>
      <c r="R29" s="62">
        <v>57.224309698943067</v>
      </c>
      <c r="S29" s="62">
        <v>27.788870034231632</v>
      </c>
      <c r="T29" s="62">
        <v>0.24156785849925447</v>
      </c>
    </row>
    <row r="30" spans="1:20" s="19" customFormat="1" ht="15" customHeight="1" x14ac:dyDescent="0.25">
      <c r="A30" s="37"/>
      <c r="B30" s="38" t="s">
        <v>43</v>
      </c>
      <c r="C30" s="36">
        <f>'C08'!C30</f>
        <v>0</v>
      </c>
      <c r="D30" s="60">
        <v>335.10394389599224</v>
      </c>
      <c r="E30" s="61">
        <v>100</v>
      </c>
      <c r="F30" s="58">
        <v>5.0749659999866861</v>
      </c>
      <c r="G30" s="62">
        <v>0</v>
      </c>
      <c r="H30" s="62">
        <v>0.82685102572459412</v>
      </c>
      <c r="I30" s="62">
        <v>1.702352634726876</v>
      </c>
      <c r="J30" s="62">
        <v>1.7874835391708861</v>
      </c>
      <c r="K30" s="62">
        <v>0.75827880036432782</v>
      </c>
      <c r="L30" s="62">
        <v>0</v>
      </c>
      <c r="M30" s="58">
        <v>5.4789536471516653</v>
      </c>
      <c r="N30" s="62">
        <v>0.91752666117380643</v>
      </c>
      <c r="O30" s="62">
        <v>4.2587772294275936</v>
      </c>
      <c r="P30" s="62">
        <v>0.30264975655026427</v>
      </c>
      <c r="Q30" s="58">
        <v>89.446080352861614</v>
      </c>
      <c r="R30" s="62">
        <v>57.252542303276371</v>
      </c>
      <c r="S30" s="62">
        <v>31.808700335865307</v>
      </c>
      <c r="T30" s="62">
        <v>0.3848377137200939</v>
      </c>
    </row>
    <row r="31" spans="1:20" s="19" customFormat="1" ht="15" customHeight="1" x14ac:dyDescent="0.25">
      <c r="A31" s="37"/>
      <c r="B31" s="38" t="s">
        <v>44</v>
      </c>
      <c r="C31" s="36">
        <f>'C08'!C31</f>
        <v>0</v>
      </c>
      <c r="D31" s="60">
        <v>176.52452357446575</v>
      </c>
      <c r="E31" s="61">
        <v>100</v>
      </c>
      <c r="F31" s="58">
        <v>3.9813857553286667</v>
      </c>
      <c r="G31" s="62">
        <v>0</v>
      </c>
      <c r="H31" s="62">
        <v>0</v>
      </c>
      <c r="I31" s="62">
        <v>0</v>
      </c>
      <c r="J31" s="62">
        <v>3.9319222933633271</v>
      </c>
      <c r="K31" s="62">
        <v>4.9463461965339101E-2</v>
      </c>
      <c r="L31" s="62">
        <v>0</v>
      </c>
      <c r="M31" s="58">
        <v>5.0577644805261999</v>
      </c>
      <c r="N31" s="62">
        <v>2.3298240648991508</v>
      </c>
      <c r="O31" s="62">
        <v>2.727940415627053</v>
      </c>
      <c r="P31" s="62">
        <v>0</v>
      </c>
      <c r="Q31" s="58">
        <v>90.960849764144868</v>
      </c>
      <c r="R31" s="62">
        <v>40.088684012094888</v>
      </c>
      <c r="S31" s="62">
        <v>48.538713635866976</v>
      </c>
      <c r="T31" s="62">
        <v>2.3334521161833082</v>
      </c>
    </row>
    <row r="32" spans="1:20" s="19" customFormat="1" ht="15" customHeight="1" x14ac:dyDescent="0.25">
      <c r="A32" s="37"/>
      <c r="B32" s="38" t="s">
        <v>45</v>
      </c>
      <c r="C32" s="36">
        <f>'C08'!C32</f>
        <v>0</v>
      </c>
      <c r="D32" s="60">
        <v>14.127693304357045</v>
      </c>
      <c r="E32" s="61">
        <v>100</v>
      </c>
      <c r="F32" s="58">
        <v>7.4753592521979124</v>
      </c>
      <c r="G32" s="62">
        <v>5.6613385969983623E-2</v>
      </c>
      <c r="H32" s="62">
        <v>5.6613385969983623E-2</v>
      </c>
      <c r="I32" s="62">
        <v>0</v>
      </c>
      <c r="J32" s="62">
        <v>3.0740437035966264</v>
      </c>
      <c r="K32" s="62">
        <v>5.6613385969983623E-2</v>
      </c>
      <c r="L32" s="62">
        <v>4.2314753906913349</v>
      </c>
      <c r="M32" s="58">
        <v>6.1017400415715644</v>
      </c>
      <c r="N32" s="62">
        <v>6.1017400415715644</v>
      </c>
      <c r="O32" s="62">
        <v>0</v>
      </c>
      <c r="P32" s="62">
        <v>0</v>
      </c>
      <c r="Q32" s="58">
        <v>86.422900706230593</v>
      </c>
      <c r="R32" s="62">
        <v>45.36624181559548</v>
      </c>
      <c r="S32" s="62">
        <v>40.831511503236939</v>
      </c>
      <c r="T32" s="62">
        <v>0.2251473873984973</v>
      </c>
    </row>
    <row r="33" spans="1:20" s="19" customFormat="1" ht="15" customHeight="1" x14ac:dyDescent="0.25">
      <c r="A33" s="37" t="s">
        <v>232</v>
      </c>
      <c r="B33" s="38"/>
      <c r="C33" s="36" t="s">
        <v>92</v>
      </c>
      <c r="D33" s="60"/>
      <c r="E33" s="61"/>
      <c r="F33" s="58"/>
      <c r="G33" s="62"/>
      <c r="H33" s="62"/>
      <c r="I33" s="62"/>
      <c r="J33" s="62"/>
      <c r="K33" s="62"/>
      <c r="L33" s="62"/>
      <c r="M33" s="58"/>
      <c r="N33" s="62"/>
      <c r="O33" s="62"/>
      <c r="P33" s="62"/>
      <c r="Q33" s="58"/>
      <c r="R33" s="62"/>
      <c r="S33" s="62"/>
      <c r="T33" s="62"/>
    </row>
    <row r="34" spans="1:20" s="19" customFormat="1" ht="15" customHeight="1" x14ac:dyDescent="0.25">
      <c r="A34" s="37"/>
      <c r="B34" s="38" t="s">
        <v>233</v>
      </c>
      <c r="C34" s="36"/>
      <c r="D34" s="60">
        <v>25607.842490828203</v>
      </c>
      <c r="E34" s="61">
        <v>100</v>
      </c>
      <c r="F34" s="58">
        <v>19.613071565878453</v>
      </c>
      <c r="G34" s="62">
        <v>8.153683059750362</v>
      </c>
      <c r="H34" s="62">
        <v>0.34619090442743106</v>
      </c>
      <c r="I34" s="62">
        <v>1.3155407860998178</v>
      </c>
      <c r="J34" s="62">
        <v>8.0514256389993726</v>
      </c>
      <c r="K34" s="62">
        <v>1.6546229199588387</v>
      </c>
      <c r="L34" s="62">
        <v>9.1608256642572577E-2</v>
      </c>
      <c r="M34" s="58">
        <v>9.2139011856558852</v>
      </c>
      <c r="N34" s="62">
        <v>7.0678467785505923</v>
      </c>
      <c r="O34" s="62">
        <v>1.9325232372514007</v>
      </c>
      <c r="P34" s="62">
        <v>0.21353116985388274</v>
      </c>
      <c r="Q34" s="58">
        <v>71.17302724846671</v>
      </c>
      <c r="R34" s="62">
        <v>45.656109092644442</v>
      </c>
      <c r="S34" s="62">
        <v>24.327368949264628</v>
      </c>
      <c r="T34" s="62">
        <v>1.1895492065579181</v>
      </c>
    </row>
    <row r="35" spans="1:20" s="19" customFormat="1" ht="15" customHeight="1" x14ac:dyDescent="0.25">
      <c r="A35" s="37"/>
      <c r="B35" s="38" t="s">
        <v>234</v>
      </c>
      <c r="C35" s="36"/>
      <c r="D35" s="60">
        <v>9605.9842583387035</v>
      </c>
      <c r="E35" s="61">
        <v>100</v>
      </c>
      <c r="F35" s="58">
        <v>6.8168588312693723</v>
      </c>
      <c r="G35" s="62">
        <v>0.47689863533808574</v>
      </c>
      <c r="H35" s="62">
        <v>0.17908918462100787</v>
      </c>
      <c r="I35" s="62">
        <v>1.4850956531801378</v>
      </c>
      <c r="J35" s="62">
        <v>4.3109876781979004</v>
      </c>
      <c r="K35" s="62">
        <v>0.3486730161235827</v>
      </c>
      <c r="L35" s="62">
        <v>1.6114663808646162E-2</v>
      </c>
      <c r="M35" s="58">
        <v>5.4830462395626673</v>
      </c>
      <c r="N35" s="62">
        <v>3.2047278034761479</v>
      </c>
      <c r="O35" s="62">
        <v>2.1840038802275163</v>
      </c>
      <c r="P35" s="62">
        <v>9.4314555859011509E-2</v>
      </c>
      <c r="Q35" s="58">
        <v>87.700094929170845</v>
      </c>
      <c r="R35" s="62">
        <v>49.467604860477685</v>
      </c>
      <c r="S35" s="62">
        <v>34.95292530154601</v>
      </c>
      <c r="T35" s="62">
        <v>3.2795647671476376</v>
      </c>
    </row>
    <row r="36" spans="1:20" s="19" customFormat="1" ht="15" customHeight="1" x14ac:dyDescent="0.25">
      <c r="A36" s="37" t="s">
        <v>46</v>
      </c>
      <c r="B36" s="38"/>
      <c r="C36" s="36" t="str">
        <f>'C08'!C36</f>
        <v>***</v>
      </c>
      <c r="D36" s="60"/>
      <c r="E36" s="61"/>
      <c r="F36" s="58"/>
      <c r="G36" s="62"/>
      <c r="H36" s="62"/>
      <c r="I36" s="62"/>
      <c r="J36" s="62"/>
      <c r="K36" s="62"/>
      <c r="L36" s="62"/>
      <c r="M36" s="58"/>
      <c r="N36" s="62"/>
      <c r="O36" s="62"/>
      <c r="P36" s="62"/>
      <c r="Q36" s="58"/>
      <c r="R36" s="62"/>
      <c r="S36" s="62"/>
      <c r="T36" s="62"/>
    </row>
    <row r="37" spans="1:20" s="19" customFormat="1" ht="15" customHeight="1" x14ac:dyDescent="0.25">
      <c r="A37" s="37"/>
      <c r="B37" s="38" t="s">
        <v>209</v>
      </c>
      <c r="C37" s="36">
        <f>'C08'!C37</f>
        <v>0</v>
      </c>
      <c r="D37" s="60">
        <v>18371.891953224913</v>
      </c>
      <c r="E37" s="61">
        <v>100</v>
      </c>
      <c r="F37" s="58">
        <v>11.424524539368969</v>
      </c>
      <c r="G37" s="62">
        <v>4.3362763236395221</v>
      </c>
      <c r="H37" s="62">
        <v>0.43530395476713807</v>
      </c>
      <c r="I37" s="62">
        <v>1.0112293432191817</v>
      </c>
      <c r="J37" s="62">
        <v>4.5728505004549129</v>
      </c>
      <c r="K37" s="62">
        <v>0.93563431909427031</v>
      </c>
      <c r="L37" s="62">
        <v>0.13323009819395443</v>
      </c>
      <c r="M37" s="58">
        <v>6.3932058443090041</v>
      </c>
      <c r="N37" s="62">
        <v>3.943047173299481</v>
      </c>
      <c r="O37" s="62">
        <v>2.2034524995485478</v>
      </c>
      <c r="P37" s="62">
        <v>0.24670617146096446</v>
      </c>
      <c r="Q37" s="58">
        <v>82.182269616320667</v>
      </c>
      <c r="R37" s="62">
        <v>46.904027994146233</v>
      </c>
      <c r="S37" s="62">
        <v>32.180884488960295</v>
      </c>
      <c r="T37" s="62">
        <v>3.0973571332129359</v>
      </c>
    </row>
    <row r="38" spans="1:20" s="19" customFormat="1" ht="15" customHeight="1" x14ac:dyDescent="0.25">
      <c r="A38" s="37"/>
      <c r="B38" s="38" t="s">
        <v>48</v>
      </c>
      <c r="C38" s="36">
        <f>'C08'!C38</f>
        <v>0</v>
      </c>
      <c r="D38" s="60">
        <v>16841.934795943202</v>
      </c>
      <c r="E38" s="61">
        <v>100</v>
      </c>
      <c r="F38" s="58">
        <v>21.247021789728517</v>
      </c>
      <c r="G38" s="62">
        <v>7.9393320198031807</v>
      </c>
      <c r="H38" s="62">
        <v>0.15367431641364554</v>
      </c>
      <c r="I38" s="62">
        <v>1.7442040258226499</v>
      </c>
      <c r="J38" s="62">
        <v>9.7126016716064374</v>
      </c>
      <c r="K38" s="62">
        <v>1.694062965316441</v>
      </c>
      <c r="L38" s="62">
        <v>3.1467907661375449E-3</v>
      </c>
      <c r="M38" s="58">
        <v>10.162900000549273</v>
      </c>
      <c r="N38" s="62">
        <v>8.2731370796019448</v>
      </c>
      <c r="O38" s="62">
        <v>1.7804169580604787</v>
      </c>
      <c r="P38" s="62">
        <v>0.10934596288683883</v>
      </c>
      <c r="Q38" s="58">
        <v>68.590078209720929</v>
      </c>
      <c r="R38" s="62">
        <v>46.468755459437787</v>
      </c>
      <c r="S38" s="62">
        <v>21.820827248226777</v>
      </c>
      <c r="T38" s="62">
        <v>0.30049550205644016</v>
      </c>
    </row>
    <row r="39" spans="1:20" s="19" customFormat="1" ht="15" customHeight="1" x14ac:dyDescent="0.25">
      <c r="A39" s="37" t="s">
        <v>49</v>
      </c>
      <c r="B39" s="38"/>
      <c r="C39" s="36" t="str">
        <f>'C08'!C39</f>
        <v>***</v>
      </c>
      <c r="D39" s="60"/>
      <c r="E39" s="61"/>
      <c r="F39" s="58"/>
      <c r="G39" s="62"/>
      <c r="H39" s="62"/>
      <c r="I39" s="62"/>
      <c r="J39" s="62"/>
      <c r="K39" s="62"/>
      <c r="L39" s="62"/>
      <c r="M39" s="58"/>
      <c r="N39" s="62"/>
      <c r="O39" s="62"/>
      <c r="P39" s="62"/>
      <c r="Q39" s="58"/>
      <c r="R39" s="62"/>
      <c r="S39" s="62"/>
      <c r="T39" s="62"/>
    </row>
    <row r="40" spans="1:20" s="19" customFormat="1" ht="15" customHeight="1" x14ac:dyDescent="0.25">
      <c r="A40" s="37"/>
      <c r="B40" s="38" t="s">
        <v>107</v>
      </c>
      <c r="C40" s="36">
        <f>'C08'!C40</f>
        <v>0</v>
      </c>
      <c r="D40" s="60">
        <v>1945.2966440243238</v>
      </c>
      <c r="E40" s="61">
        <v>100</v>
      </c>
      <c r="F40" s="58">
        <v>45.129942238448635</v>
      </c>
      <c r="G40" s="62">
        <v>8.0968299828130608</v>
      </c>
      <c r="H40" s="62">
        <v>3.9461900109971651E-2</v>
      </c>
      <c r="I40" s="62">
        <v>4.1521521843819764</v>
      </c>
      <c r="J40" s="62">
        <v>31.379936387610051</v>
      </c>
      <c r="K40" s="62">
        <v>1.4448163891768597</v>
      </c>
      <c r="L40" s="62">
        <v>1.6745394356791798E-2</v>
      </c>
      <c r="M40" s="58">
        <v>30.30929039974783</v>
      </c>
      <c r="N40" s="62">
        <v>19.901246703639266</v>
      </c>
      <c r="O40" s="62">
        <v>9.8281247820556796</v>
      </c>
      <c r="P40" s="62">
        <v>0.57991891405288276</v>
      </c>
      <c r="Q40" s="58">
        <v>24.56076736180292</v>
      </c>
      <c r="R40" s="62">
        <v>12.735490415588318</v>
      </c>
      <c r="S40" s="62">
        <v>11.750958991329982</v>
      </c>
      <c r="T40" s="62">
        <v>7.4317954884658116E-2</v>
      </c>
    </row>
    <row r="41" spans="1:20" s="19" customFormat="1" ht="15" customHeight="1" x14ac:dyDescent="0.25">
      <c r="A41" s="37"/>
      <c r="B41" s="38" t="s">
        <v>108</v>
      </c>
      <c r="C41" s="36">
        <f>'C08'!C41</f>
        <v>0</v>
      </c>
      <c r="D41" s="60">
        <v>818.94485626563255</v>
      </c>
      <c r="E41" s="61">
        <v>100</v>
      </c>
      <c r="F41" s="58">
        <v>29.792362022014224</v>
      </c>
      <c r="G41" s="62">
        <v>7.8962905349108423</v>
      </c>
      <c r="H41" s="62">
        <v>2.0308723619501933E-2</v>
      </c>
      <c r="I41" s="62">
        <v>2.7604350849301706</v>
      </c>
      <c r="J41" s="62">
        <v>18.742401358357625</v>
      </c>
      <c r="K41" s="62">
        <v>0.3729263201960929</v>
      </c>
      <c r="L41" s="62">
        <v>0</v>
      </c>
      <c r="M41" s="58">
        <v>14.976421787271391</v>
      </c>
      <c r="N41" s="62">
        <v>10.147035551061498</v>
      </c>
      <c r="O41" s="62">
        <v>4.7899931059401899</v>
      </c>
      <c r="P41" s="62">
        <v>3.9393130269713514E-2</v>
      </c>
      <c r="Q41" s="58">
        <v>55.23121619071474</v>
      </c>
      <c r="R41" s="62">
        <v>44.660187702841668</v>
      </c>
      <c r="S41" s="62">
        <v>10.046637174536237</v>
      </c>
      <c r="T41" s="62">
        <v>0.52439131333687794</v>
      </c>
    </row>
    <row r="42" spans="1:20" s="19" customFormat="1" ht="15" customHeight="1" x14ac:dyDescent="0.25">
      <c r="A42" s="37"/>
      <c r="B42" s="38" t="s">
        <v>109</v>
      </c>
      <c r="C42" s="36">
        <f>'C08'!C42</f>
        <v>0</v>
      </c>
      <c r="D42" s="60">
        <v>5956.5129983736661</v>
      </c>
      <c r="E42" s="61">
        <v>100</v>
      </c>
      <c r="F42" s="58">
        <v>17.221218686448655</v>
      </c>
      <c r="G42" s="62">
        <v>7.9524622054685628</v>
      </c>
      <c r="H42" s="62">
        <v>0.1361733485762103</v>
      </c>
      <c r="I42" s="62">
        <v>1.9636793699433068</v>
      </c>
      <c r="J42" s="62">
        <v>6.8940966930174232</v>
      </c>
      <c r="K42" s="62">
        <v>0.26054667442189039</v>
      </c>
      <c r="L42" s="62">
        <v>1.426039502139074E-2</v>
      </c>
      <c r="M42" s="58">
        <v>8.521394617706239</v>
      </c>
      <c r="N42" s="62">
        <v>6.7510014786407249</v>
      </c>
      <c r="O42" s="62">
        <v>1.7498521414896813</v>
      </c>
      <c r="P42" s="62">
        <v>2.0540997575829639E-2</v>
      </c>
      <c r="Q42" s="58">
        <v>74.257386695846137</v>
      </c>
      <c r="R42" s="62">
        <v>56.190467536637456</v>
      </c>
      <c r="S42" s="62">
        <v>17.151838957484216</v>
      </c>
      <c r="T42" s="62">
        <v>0.91508020172480753</v>
      </c>
    </row>
    <row r="43" spans="1:20" s="19" customFormat="1" ht="15" customHeight="1" x14ac:dyDescent="0.25">
      <c r="A43" s="37"/>
      <c r="B43" s="38" t="s">
        <v>110</v>
      </c>
      <c r="C43" s="36">
        <f>'C08'!C43</f>
        <v>0</v>
      </c>
      <c r="D43" s="60">
        <v>7600.6588262143969</v>
      </c>
      <c r="E43" s="61">
        <v>100</v>
      </c>
      <c r="F43" s="58">
        <v>14.519034728396024</v>
      </c>
      <c r="G43" s="62">
        <v>5.5585042923933043</v>
      </c>
      <c r="H43" s="62">
        <v>0.49129320374614138</v>
      </c>
      <c r="I43" s="62">
        <v>1.4644267596326395</v>
      </c>
      <c r="J43" s="62">
        <v>3.6942427480058417</v>
      </c>
      <c r="K43" s="62">
        <v>3.3102255116693229</v>
      </c>
      <c r="L43" s="62">
        <v>3.4221294876919244E-4</v>
      </c>
      <c r="M43" s="58">
        <v>4.5741008276172188</v>
      </c>
      <c r="N43" s="62">
        <v>3.4342338616178041</v>
      </c>
      <c r="O43" s="62">
        <v>1.0439862032233254</v>
      </c>
      <c r="P43" s="62">
        <v>9.5880762776085912E-2</v>
      </c>
      <c r="Q43" s="58">
        <v>80.906864443986294</v>
      </c>
      <c r="R43" s="62">
        <v>47.619318105180916</v>
      </c>
      <c r="S43" s="62">
        <v>31.695793520929367</v>
      </c>
      <c r="T43" s="62">
        <v>1.5917528178757625</v>
      </c>
    </row>
    <row r="44" spans="1:20" s="19" customFormat="1" ht="15" customHeight="1" x14ac:dyDescent="0.25">
      <c r="A44" s="37"/>
      <c r="B44" s="38" t="s">
        <v>111</v>
      </c>
      <c r="C44" s="36">
        <f>'C08'!C44</f>
        <v>0</v>
      </c>
      <c r="D44" s="60">
        <v>8859.1650600778412</v>
      </c>
      <c r="E44" s="61">
        <v>100</v>
      </c>
      <c r="F44" s="58">
        <v>12.416530573507451</v>
      </c>
      <c r="G44" s="62">
        <v>5.7487547043849565</v>
      </c>
      <c r="H44" s="62">
        <v>0.54895000290763318</v>
      </c>
      <c r="I44" s="62">
        <v>0.53040453220315875</v>
      </c>
      <c r="J44" s="62">
        <v>4.9980548677898113</v>
      </c>
      <c r="K44" s="62">
        <v>0.58775440660548994</v>
      </c>
      <c r="L44" s="62">
        <v>2.612059616387928E-3</v>
      </c>
      <c r="M44" s="58">
        <v>6.78448957675936</v>
      </c>
      <c r="N44" s="62">
        <v>5.4588085582832546</v>
      </c>
      <c r="O44" s="62">
        <v>1.0123471966895998</v>
      </c>
      <c r="P44" s="62">
        <v>0.31333382178651425</v>
      </c>
      <c r="Q44" s="58">
        <v>80.798979849733229</v>
      </c>
      <c r="R44" s="62">
        <v>48.375061640722322</v>
      </c>
      <c r="S44" s="62">
        <v>31.554076868276365</v>
      </c>
      <c r="T44" s="62">
        <v>0.86984134073511798</v>
      </c>
    </row>
    <row r="45" spans="1:20" s="19" customFormat="1" ht="15" customHeight="1" x14ac:dyDescent="0.25">
      <c r="A45" s="37"/>
      <c r="B45" s="38" t="s">
        <v>112</v>
      </c>
      <c r="C45" s="36">
        <f>'C08'!C45</f>
        <v>0</v>
      </c>
      <c r="D45" s="60">
        <v>6696.9728261791843</v>
      </c>
      <c r="E45" s="61">
        <v>100</v>
      </c>
      <c r="F45" s="58">
        <v>12.74386045557149</v>
      </c>
      <c r="G45" s="62">
        <v>5.1708431130781278</v>
      </c>
      <c r="H45" s="62">
        <v>2.9760587363873207E-2</v>
      </c>
      <c r="I45" s="62">
        <v>1.2559788709783704</v>
      </c>
      <c r="J45" s="62">
        <v>4.9360021468008455</v>
      </c>
      <c r="K45" s="62">
        <v>1.0425224999912996</v>
      </c>
      <c r="L45" s="62">
        <v>0.30875323735896826</v>
      </c>
      <c r="M45" s="58">
        <v>6.7188742866440494</v>
      </c>
      <c r="N45" s="62">
        <v>4.8196130136554292</v>
      </c>
      <c r="O45" s="62">
        <v>1.6802917965641362</v>
      </c>
      <c r="P45" s="62">
        <v>0.21896947642448147</v>
      </c>
      <c r="Q45" s="58">
        <v>80.537265257784256</v>
      </c>
      <c r="R45" s="62">
        <v>45.105619506226489</v>
      </c>
      <c r="S45" s="62">
        <v>32.472290671297372</v>
      </c>
      <c r="T45" s="62">
        <v>2.9593550802597228</v>
      </c>
    </row>
    <row r="46" spans="1:20" s="19" customFormat="1" ht="15" customHeight="1" x14ac:dyDescent="0.25">
      <c r="A46" s="37"/>
      <c r="B46" s="38" t="s">
        <v>113</v>
      </c>
      <c r="C46" s="36">
        <f>'C08'!C46</f>
        <v>0</v>
      </c>
      <c r="D46" s="60">
        <v>1956.3628095958995</v>
      </c>
      <c r="E46" s="61">
        <v>100</v>
      </c>
      <c r="F46" s="58">
        <v>11.965722018963056</v>
      </c>
      <c r="G46" s="62">
        <v>4.4359296072059138</v>
      </c>
      <c r="H46" s="62">
        <v>0.39014368995312881</v>
      </c>
      <c r="I46" s="62">
        <v>0.37824143589669434</v>
      </c>
      <c r="J46" s="62">
        <v>5.9787885117179549</v>
      </c>
      <c r="K46" s="62">
        <v>0.7826187741893551</v>
      </c>
      <c r="L46" s="62">
        <v>0</v>
      </c>
      <c r="M46" s="58">
        <v>7.1857713733205726</v>
      </c>
      <c r="N46" s="62">
        <v>5.8401163400477571</v>
      </c>
      <c r="O46" s="62">
        <v>1.3156412077623443</v>
      </c>
      <c r="P46" s="62">
        <v>3.0013825510461715E-2</v>
      </c>
      <c r="Q46" s="58">
        <v>80.848506607716075</v>
      </c>
      <c r="R46" s="62">
        <v>46.533089541110215</v>
      </c>
      <c r="S46" s="62">
        <v>28.953866617996063</v>
      </c>
      <c r="T46" s="62">
        <v>5.361550448609421</v>
      </c>
    </row>
    <row r="47" spans="1:20" s="19" customFormat="1" ht="15" customHeight="1" x14ac:dyDescent="0.25">
      <c r="A47" s="37"/>
      <c r="B47" s="38" t="s">
        <v>114</v>
      </c>
      <c r="C47" s="36"/>
      <c r="D47" s="60">
        <v>1379.9127284364963</v>
      </c>
      <c r="E47" s="61">
        <v>100</v>
      </c>
      <c r="F47" s="58">
        <v>17.28684849705142</v>
      </c>
      <c r="G47" s="62">
        <v>5.2961755397892771</v>
      </c>
      <c r="H47" s="62">
        <v>8.772709290591732E-2</v>
      </c>
      <c r="I47" s="62">
        <v>0.68025306951228981</v>
      </c>
      <c r="J47" s="62">
        <v>9.4380179714571248</v>
      </c>
      <c r="K47" s="62">
        <v>1.5747222166975361</v>
      </c>
      <c r="L47" s="62">
        <v>0.20995260668926524</v>
      </c>
      <c r="M47" s="58">
        <v>9.2105655465849416</v>
      </c>
      <c r="N47" s="62">
        <v>4.6203089102950132</v>
      </c>
      <c r="O47" s="62">
        <v>4.5456557807311473</v>
      </c>
      <c r="P47" s="62">
        <v>4.4600855558789468E-2</v>
      </c>
      <c r="Q47" s="58">
        <v>73.502585956363674</v>
      </c>
      <c r="R47" s="62">
        <v>46.875526513899537</v>
      </c>
      <c r="S47" s="62">
        <v>22.403433992882242</v>
      </c>
      <c r="T47" s="62">
        <v>4.2236254495818963</v>
      </c>
    </row>
    <row r="48" spans="1:20" s="19" customFormat="1" ht="15" customHeight="1" x14ac:dyDescent="0.25">
      <c r="A48" s="37" t="s">
        <v>50</v>
      </c>
      <c r="B48" s="38"/>
      <c r="C48" s="36" t="str">
        <f>'C08'!C49</f>
        <v>***</v>
      </c>
      <c r="D48" s="60"/>
      <c r="E48" s="61"/>
      <c r="F48" s="58"/>
      <c r="G48" s="62"/>
      <c r="H48" s="62"/>
      <c r="I48" s="62"/>
      <c r="J48" s="62"/>
      <c r="K48" s="62"/>
      <c r="L48" s="62"/>
      <c r="M48" s="58"/>
      <c r="N48" s="62"/>
      <c r="O48" s="62"/>
      <c r="P48" s="62"/>
      <c r="Q48" s="58"/>
      <c r="R48" s="62"/>
      <c r="S48" s="62"/>
      <c r="T48" s="62"/>
    </row>
    <row r="49" spans="1:20" s="19" customFormat="1" ht="15" customHeight="1" x14ac:dyDescent="0.25">
      <c r="A49" s="37"/>
      <c r="B49" s="38" t="s">
        <v>3</v>
      </c>
      <c r="C49" s="36">
        <f>'C08'!C50</f>
        <v>0</v>
      </c>
      <c r="D49" s="60">
        <v>511.27099250999225</v>
      </c>
      <c r="E49" s="61">
        <v>100</v>
      </c>
      <c r="F49" s="58">
        <v>4.8966329862877958</v>
      </c>
      <c r="G49" s="62">
        <v>1.6662175973284261</v>
      </c>
      <c r="H49" s="62">
        <v>0</v>
      </c>
      <c r="I49" s="62">
        <v>1.0475999884858429</v>
      </c>
      <c r="J49" s="62">
        <v>2.1828154004735278</v>
      </c>
      <c r="K49" s="62">
        <v>0</v>
      </c>
      <c r="L49" s="62">
        <v>0</v>
      </c>
      <c r="M49" s="58">
        <v>10.984687141312754</v>
      </c>
      <c r="N49" s="62">
        <v>6.0755968358318784</v>
      </c>
      <c r="O49" s="62">
        <v>4.9090903054808646</v>
      </c>
      <c r="P49" s="62">
        <v>0</v>
      </c>
      <c r="Q49" s="58">
        <v>84.118679872399412</v>
      </c>
      <c r="R49" s="62">
        <v>58.154469101065118</v>
      </c>
      <c r="S49" s="62">
        <v>17.877676043836008</v>
      </c>
      <c r="T49" s="62">
        <v>8.0865347274983765</v>
      </c>
    </row>
    <row r="50" spans="1:20" s="19" customFormat="1" ht="15" customHeight="1" x14ac:dyDescent="0.25">
      <c r="A50" s="37"/>
      <c r="B50" s="38" t="s">
        <v>115</v>
      </c>
      <c r="C50" s="36">
        <f>'C08'!C51</f>
        <v>0</v>
      </c>
      <c r="D50" s="60">
        <v>1863.6638532646693</v>
      </c>
      <c r="E50" s="61">
        <v>100</v>
      </c>
      <c r="F50" s="58">
        <v>5.2938094858459346</v>
      </c>
      <c r="G50" s="62">
        <v>0.28099038493183232</v>
      </c>
      <c r="H50" s="62">
        <v>3.8218210331876383E-2</v>
      </c>
      <c r="I50" s="62">
        <v>0.1035645973488139</v>
      </c>
      <c r="J50" s="62">
        <v>4.6731560929703404</v>
      </c>
      <c r="K50" s="62">
        <v>4.2424980250391646E-2</v>
      </c>
      <c r="L50" s="62">
        <v>0.15545522001268022</v>
      </c>
      <c r="M50" s="58">
        <v>10.039382215880448</v>
      </c>
      <c r="N50" s="62">
        <v>5.5847318639102346</v>
      </c>
      <c r="O50" s="62">
        <v>4.4154590395055893</v>
      </c>
      <c r="P50" s="62">
        <v>3.9191312464620737E-2</v>
      </c>
      <c r="Q50" s="58">
        <v>84.666808298273679</v>
      </c>
      <c r="R50" s="62">
        <v>56.356388312963382</v>
      </c>
      <c r="S50" s="62">
        <v>21.3723756810132</v>
      </c>
      <c r="T50" s="62">
        <v>6.9380443042968825</v>
      </c>
    </row>
    <row r="51" spans="1:20" s="19" customFormat="1" ht="15" customHeight="1" x14ac:dyDescent="0.25">
      <c r="A51" s="37"/>
      <c r="B51" s="38" t="s">
        <v>116</v>
      </c>
      <c r="C51" s="36">
        <f>'C08'!C52</f>
        <v>0</v>
      </c>
      <c r="D51" s="60">
        <v>9147.2513564387227</v>
      </c>
      <c r="E51" s="61">
        <v>100</v>
      </c>
      <c r="F51" s="58">
        <v>14.880837354209444</v>
      </c>
      <c r="G51" s="62">
        <v>3.0550227587805168</v>
      </c>
      <c r="H51" s="62">
        <v>8.3921496042323393E-3</v>
      </c>
      <c r="I51" s="62">
        <v>1.3620979984492416</v>
      </c>
      <c r="J51" s="62">
        <v>9.2158240172613386</v>
      </c>
      <c r="K51" s="62">
        <v>1.0101863539804075</v>
      </c>
      <c r="L51" s="62">
        <v>0.22931407613373503</v>
      </c>
      <c r="M51" s="58">
        <v>8.7835859141558217</v>
      </c>
      <c r="N51" s="62">
        <v>5.2649556573629619</v>
      </c>
      <c r="O51" s="62">
        <v>3.1106286887320675</v>
      </c>
      <c r="P51" s="62">
        <v>0.40800156806080767</v>
      </c>
      <c r="Q51" s="58">
        <v>76.335576731634873</v>
      </c>
      <c r="R51" s="62">
        <v>48.786758265110564</v>
      </c>
      <c r="S51" s="62">
        <v>24.569169183687904</v>
      </c>
      <c r="T51" s="62">
        <v>2.9796492828364074</v>
      </c>
    </row>
    <row r="52" spans="1:20" s="19" customFormat="1" ht="15" customHeight="1" x14ac:dyDescent="0.25">
      <c r="A52" s="37"/>
      <c r="B52" s="38" t="s">
        <v>51</v>
      </c>
      <c r="C52" s="36">
        <f>'C08'!C53</f>
        <v>0</v>
      </c>
      <c r="D52" s="60">
        <v>3671.6421569754002</v>
      </c>
      <c r="E52" s="61">
        <v>100</v>
      </c>
      <c r="F52" s="58">
        <v>13.435612131627256</v>
      </c>
      <c r="G52" s="62">
        <v>5.2035300393082542</v>
      </c>
      <c r="H52" s="62">
        <v>0</v>
      </c>
      <c r="I52" s="62">
        <v>0.84084950691147686</v>
      </c>
      <c r="J52" s="62">
        <v>7.1098657875731579</v>
      </c>
      <c r="K52" s="62">
        <v>0.27800810133315829</v>
      </c>
      <c r="L52" s="62">
        <v>3.3586965011852556E-3</v>
      </c>
      <c r="M52" s="58">
        <v>6.9237282418323787</v>
      </c>
      <c r="N52" s="62">
        <v>5.1699997802166164</v>
      </c>
      <c r="O52" s="62">
        <v>1.3609428903606655</v>
      </c>
      <c r="P52" s="62">
        <v>0.39278557125509633</v>
      </c>
      <c r="Q52" s="58">
        <v>79.640659626540412</v>
      </c>
      <c r="R52" s="62">
        <v>46.631410632738053</v>
      </c>
      <c r="S52" s="62">
        <v>31.333474557462164</v>
      </c>
      <c r="T52" s="62">
        <v>1.6757744363402067</v>
      </c>
    </row>
    <row r="53" spans="1:20" s="19" customFormat="1" ht="15" customHeight="1" x14ac:dyDescent="0.25">
      <c r="A53" s="37"/>
      <c r="B53" s="38" t="s">
        <v>52</v>
      </c>
      <c r="C53" s="36">
        <f>'C08'!C54</f>
        <v>0</v>
      </c>
      <c r="D53" s="60">
        <v>14824.583469348838</v>
      </c>
      <c r="E53" s="61">
        <v>100</v>
      </c>
      <c r="F53" s="58">
        <v>17.311984289728848</v>
      </c>
      <c r="G53" s="62">
        <v>7.1405774055402631</v>
      </c>
      <c r="H53" s="62">
        <v>0.47859112725170927</v>
      </c>
      <c r="I53" s="62">
        <v>1.4938349674100597</v>
      </c>
      <c r="J53" s="62">
        <v>6.0484424017287362</v>
      </c>
      <c r="K53" s="62">
        <v>2.1437223235170872</v>
      </c>
      <c r="L53" s="62">
        <v>6.8160642810359473E-3</v>
      </c>
      <c r="M53" s="58">
        <v>8.0590888393559705</v>
      </c>
      <c r="N53" s="62">
        <v>6.6203419099881113</v>
      </c>
      <c r="O53" s="62">
        <v>1.3652602949616337</v>
      </c>
      <c r="P53" s="62">
        <v>7.348663440622738E-2</v>
      </c>
      <c r="Q53" s="58">
        <v>74.628926870914825</v>
      </c>
      <c r="R53" s="62">
        <v>48.335968881238685</v>
      </c>
      <c r="S53" s="62">
        <v>25.587245608177774</v>
      </c>
      <c r="T53" s="62">
        <v>0.70571238149770987</v>
      </c>
    </row>
    <row r="54" spans="1:20" s="19" customFormat="1" ht="15" customHeight="1" x14ac:dyDescent="0.25">
      <c r="A54" s="37"/>
      <c r="B54" s="38" t="s">
        <v>4</v>
      </c>
      <c r="C54" s="36">
        <f>'C08'!C55</f>
        <v>0</v>
      </c>
      <c r="D54" s="60">
        <v>5169.3832143226837</v>
      </c>
      <c r="E54" s="61">
        <v>100</v>
      </c>
      <c r="F54" s="58">
        <v>21.91155460010884</v>
      </c>
      <c r="G54" s="62">
        <v>11.432138497051417</v>
      </c>
      <c r="H54" s="62">
        <v>0.64661968158335548</v>
      </c>
      <c r="I54" s="62">
        <v>1.8441498346409217</v>
      </c>
      <c r="J54" s="62">
        <v>7.2921148562308371</v>
      </c>
      <c r="K54" s="62">
        <v>0.69653173060226736</v>
      </c>
      <c r="L54" s="62">
        <v>0</v>
      </c>
      <c r="M54" s="58">
        <v>7.5545269217757252</v>
      </c>
      <c r="N54" s="62">
        <v>6.3791864574825041</v>
      </c>
      <c r="O54" s="62">
        <v>1.1681157017090242</v>
      </c>
      <c r="P54" s="62">
        <v>7.2247625841944246E-3</v>
      </c>
      <c r="Q54" s="58">
        <v>70.533918478115652</v>
      </c>
      <c r="R54" s="62">
        <v>33.589309427209621</v>
      </c>
      <c r="S54" s="62">
        <v>36.745299758497573</v>
      </c>
      <c r="T54" s="62">
        <v>0.19930929240841955</v>
      </c>
    </row>
    <row r="55" spans="1:20" s="19" customFormat="1" ht="15" customHeight="1" x14ac:dyDescent="0.25">
      <c r="A55" s="37"/>
      <c r="B55" s="38" t="s">
        <v>117</v>
      </c>
      <c r="C55" s="36">
        <f>'C08'!C56</f>
        <v>0</v>
      </c>
      <c r="D55" s="60">
        <v>26.031706307276469</v>
      </c>
      <c r="E55" s="61">
        <v>100</v>
      </c>
      <c r="F55" s="58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58">
        <v>0</v>
      </c>
      <c r="N55" s="62">
        <v>0</v>
      </c>
      <c r="O55" s="62">
        <v>0</v>
      </c>
      <c r="P55" s="62">
        <v>0</v>
      </c>
      <c r="Q55" s="58">
        <v>100</v>
      </c>
      <c r="R55" s="62">
        <v>73.073028608015406</v>
      </c>
      <c r="S55" s="62">
        <v>26.92697139198458</v>
      </c>
      <c r="T55" s="62">
        <v>0</v>
      </c>
    </row>
    <row r="56" spans="1:20" s="85" customFormat="1" ht="6.75" customHeight="1" x14ac:dyDescent="0.25">
      <c r="A56" s="39"/>
      <c r="B56" s="40"/>
      <c r="C56" s="82">
        <f>'C08'!C48</f>
        <v>0</v>
      </c>
      <c r="D56" s="94"/>
      <c r="E56" s="83"/>
      <c r="F56" s="95"/>
      <c r="G56" s="84"/>
      <c r="H56" s="84"/>
      <c r="I56" s="84"/>
      <c r="J56" s="84"/>
      <c r="K56" s="84"/>
      <c r="L56" s="84"/>
      <c r="M56" s="95"/>
      <c r="N56" s="84"/>
      <c r="O56" s="84"/>
      <c r="P56" s="84"/>
      <c r="Q56" s="95"/>
      <c r="R56" s="84"/>
      <c r="S56" s="84"/>
      <c r="T56" s="84"/>
    </row>
    <row r="57" spans="1:20" s="19" customFormat="1" ht="15" customHeight="1" x14ac:dyDescent="0.25">
      <c r="A57" s="37" t="s">
        <v>53</v>
      </c>
      <c r="B57" s="38"/>
      <c r="C57" s="36" t="str">
        <f>'C08'!C57</f>
        <v>***</v>
      </c>
      <c r="D57" s="60"/>
      <c r="E57" s="61"/>
      <c r="F57" s="58"/>
      <c r="G57" s="62"/>
      <c r="H57" s="62"/>
      <c r="I57" s="62"/>
      <c r="J57" s="62"/>
      <c r="K57" s="62"/>
      <c r="L57" s="62"/>
      <c r="M57" s="58"/>
      <c r="N57" s="62"/>
      <c r="O57" s="62"/>
      <c r="P57" s="62"/>
      <c r="Q57" s="58"/>
      <c r="R57" s="62"/>
      <c r="S57" s="62"/>
      <c r="T57" s="62"/>
    </row>
    <row r="58" spans="1:20" s="19" customFormat="1" ht="15" customHeight="1" x14ac:dyDescent="0.25">
      <c r="A58" s="37"/>
      <c r="B58" s="38" t="s">
        <v>54</v>
      </c>
      <c r="C58" s="36">
        <f>'C08'!C58</f>
        <v>0</v>
      </c>
      <c r="D58" s="60">
        <v>917.59608212812759</v>
      </c>
      <c r="E58" s="61">
        <v>100</v>
      </c>
      <c r="F58" s="58">
        <v>0.2452655718924624</v>
      </c>
      <c r="G58" s="62">
        <v>0</v>
      </c>
      <c r="H58" s="62">
        <v>0</v>
      </c>
      <c r="I58" s="62">
        <v>0</v>
      </c>
      <c r="J58" s="62">
        <v>0.2452655718924624</v>
      </c>
      <c r="K58" s="62">
        <v>0</v>
      </c>
      <c r="L58" s="62">
        <v>0</v>
      </c>
      <c r="M58" s="58">
        <v>8.7764968886940586</v>
      </c>
      <c r="N58" s="62">
        <v>2.9384485337783524</v>
      </c>
      <c r="O58" s="62">
        <v>3.3869516857920186</v>
      </c>
      <c r="P58" s="62">
        <v>2.4510966691236944</v>
      </c>
      <c r="Q58" s="58">
        <v>90.978237539413456</v>
      </c>
      <c r="R58" s="62">
        <v>52.045054523288918</v>
      </c>
      <c r="S58" s="62">
        <v>16.827398821480095</v>
      </c>
      <c r="T58" s="62">
        <v>22.105784194644514</v>
      </c>
    </row>
    <row r="59" spans="1:20" s="19" customFormat="1" ht="15" customHeight="1" x14ac:dyDescent="0.25">
      <c r="A59" s="37"/>
      <c r="B59" s="38" t="s">
        <v>55</v>
      </c>
      <c r="C59" s="36"/>
      <c r="D59" s="60">
        <v>10540.32288271731</v>
      </c>
      <c r="E59" s="61">
        <v>100</v>
      </c>
      <c r="F59" s="58">
        <v>7.1079685908248358</v>
      </c>
      <c r="G59" s="62">
        <v>2.6810189296799924</v>
      </c>
      <c r="H59" s="62">
        <v>2.2355197395810499E-2</v>
      </c>
      <c r="I59" s="62">
        <v>0.84640863298942459</v>
      </c>
      <c r="J59" s="62">
        <v>2.4534299124284136</v>
      </c>
      <c r="K59" s="62">
        <v>0.88109737272354571</v>
      </c>
      <c r="L59" s="62">
        <v>0.22365854560766851</v>
      </c>
      <c r="M59" s="58">
        <v>3.7266125559276073</v>
      </c>
      <c r="N59" s="62">
        <v>2.8438096862766948</v>
      </c>
      <c r="O59" s="62">
        <v>0.86549376018579838</v>
      </c>
      <c r="P59" s="62">
        <v>1.7309109465110977E-2</v>
      </c>
      <c r="Q59" s="58">
        <v>89.165418853247246</v>
      </c>
      <c r="R59" s="62">
        <v>52.714563875501099</v>
      </c>
      <c r="S59" s="62">
        <v>34.744895979938875</v>
      </c>
      <c r="T59" s="62">
        <v>1.7059589978072622</v>
      </c>
    </row>
    <row r="60" spans="1:20" s="19" customFormat="1" ht="15" customHeight="1" x14ac:dyDescent="0.25">
      <c r="A60" s="37"/>
      <c r="B60" s="38" t="s">
        <v>211</v>
      </c>
      <c r="C60" s="36"/>
      <c r="D60" s="60">
        <v>1940.1571152197182</v>
      </c>
      <c r="E60" s="61">
        <v>100</v>
      </c>
      <c r="F60" s="58">
        <v>13.99911531359205</v>
      </c>
      <c r="G60" s="62">
        <v>5.8102007350907838</v>
      </c>
      <c r="H60" s="62">
        <v>2.9024030307850668E-2</v>
      </c>
      <c r="I60" s="62">
        <v>0.65263902059333745</v>
      </c>
      <c r="J60" s="62">
        <v>6.9931388214087651</v>
      </c>
      <c r="K60" s="62">
        <v>0.51411270619130967</v>
      </c>
      <c r="L60" s="62">
        <v>0</v>
      </c>
      <c r="M60" s="58">
        <v>7.1414056463562403</v>
      </c>
      <c r="N60" s="62">
        <v>5.043189806139134</v>
      </c>
      <c r="O60" s="62">
        <v>0.91464596896153927</v>
      </c>
      <c r="P60" s="62">
        <v>1.1835698712555625</v>
      </c>
      <c r="Q60" s="58">
        <v>78.859479040051923</v>
      </c>
      <c r="R60" s="62">
        <v>43.138373943047476</v>
      </c>
      <c r="S60" s="62">
        <v>34.023700887611938</v>
      </c>
      <c r="T60" s="62">
        <v>1.6974042093925881</v>
      </c>
    </row>
    <row r="61" spans="1:20" s="19" customFormat="1" ht="15" customHeight="1" x14ac:dyDescent="0.25">
      <c r="A61" s="37"/>
      <c r="B61" s="38" t="s">
        <v>212</v>
      </c>
      <c r="C61" s="36">
        <f>'C08'!C61</f>
        <v>0</v>
      </c>
      <c r="D61" s="60">
        <v>1200.3187633347775</v>
      </c>
      <c r="E61" s="61">
        <v>100</v>
      </c>
      <c r="F61" s="58">
        <v>9.0034229951156526</v>
      </c>
      <c r="G61" s="62">
        <v>4.2342205261646395</v>
      </c>
      <c r="H61" s="62">
        <v>0</v>
      </c>
      <c r="I61" s="62">
        <v>0.7301979771374153</v>
      </c>
      <c r="J61" s="62">
        <v>3.2868324464466365</v>
      </c>
      <c r="K61" s="62">
        <v>0.75217204536695814</v>
      </c>
      <c r="L61" s="62">
        <v>0</v>
      </c>
      <c r="M61" s="58">
        <v>4.9971479941593611</v>
      </c>
      <c r="N61" s="62">
        <v>2.8032864198740293</v>
      </c>
      <c r="O61" s="62">
        <v>1.6343956830005217</v>
      </c>
      <c r="P61" s="62">
        <v>0.55946589128481017</v>
      </c>
      <c r="Q61" s="58">
        <v>85.999429010725066</v>
      </c>
      <c r="R61" s="62">
        <v>67.36689883553629</v>
      </c>
      <c r="S61" s="62">
        <v>15.862124782356595</v>
      </c>
      <c r="T61" s="62">
        <v>2.7704053928322292</v>
      </c>
    </row>
    <row r="62" spans="1:20" s="19" customFormat="1" ht="15" customHeight="1" x14ac:dyDescent="0.25">
      <c r="A62" s="37"/>
      <c r="B62" s="38" t="s">
        <v>56</v>
      </c>
      <c r="C62" s="36">
        <f>'C08'!C62</f>
        <v>0</v>
      </c>
      <c r="D62" s="60">
        <v>14532.542990834098</v>
      </c>
      <c r="E62" s="61">
        <v>100</v>
      </c>
      <c r="F62" s="58">
        <v>19.628311485432711</v>
      </c>
      <c r="G62" s="62">
        <v>8.8129008501298962</v>
      </c>
      <c r="H62" s="62">
        <v>0.5275625166459591</v>
      </c>
      <c r="I62" s="62">
        <v>1.4245436663152613</v>
      </c>
      <c r="J62" s="62">
        <v>6.9301078904786495</v>
      </c>
      <c r="K62" s="62">
        <v>1.9291440913594706</v>
      </c>
      <c r="L62" s="62">
        <v>4.0524705034798809E-3</v>
      </c>
      <c r="M62" s="58">
        <v>8.1684609067025846</v>
      </c>
      <c r="N62" s="62">
        <v>6.6096429240853016</v>
      </c>
      <c r="O62" s="62">
        <v>1.5311941158490416</v>
      </c>
      <c r="P62" s="62">
        <v>2.7623866768231455E-2</v>
      </c>
      <c r="Q62" s="58">
        <v>72.203227607863681</v>
      </c>
      <c r="R62" s="62">
        <v>46.392299858417545</v>
      </c>
      <c r="S62" s="62">
        <v>24.642261678020937</v>
      </c>
      <c r="T62" s="62">
        <v>1.1686660714252914</v>
      </c>
    </row>
    <row r="63" spans="1:20" s="19" customFormat="1" ht="15" customHeight="1" x14ac:dyDescent="0.25">
      <c r="A63" s="37"/>
      <c r="B63" s="38" t="s">
        <v>57</v>
      </c>
      <c r="C63" s="36">
        <f>'C08'!C63</f>
        <v>0</v>
      </c>
      <c r="D63" s="60">
        <v>2711.9177560977514</v>
      </c>
      <c r="E63" s="61">
        <v>100</v>
      </c>
      <c r="F63" s="58">
        <v>14.041614027498305</v>
      </c>
      <c r="G63" s="62">
        <v>4.2897562499996482</v>
      </c>
      <c r="H63" s="62">
        <v>0.82260846555561284</v>
      </c>
      <c r="I63" s="62">
        <v>1.1723224955219371</v>
      </c>
      <c r="J63" s="62">
        <v>6.5141508320224766</v>
      </c>
      <c r="K63" s="62">
        <v>1.2236801743283046</v>
      </c>
      <c r="L63" s="62">
        <v>1.9095810070337869E-2</v>
      </c>
      <c r="M63" s="58">
        <v>6.4234050517427246</v>
      </c>
      <c r="N63" s="62">
        <v>5.1627488586681292</v>
      </c>
      <c r="O63" s="62">
        <v>1.2606561930746005</v>
      </c>
      <c r="P63" s="62">
        <v>0</v>
      </c>
      <c r="Q63" s="58">
        <v>79.534980920759224</v>
      </c>
      <c r="R63" s="62">
        <v>42.165452302691683</v>
      </c>
      <c r="S63" s="62">
        <v>37.333610766705092</v>
      </c>
      <c r="T63" s="62">
        <v>3.5917851362812482E-2</v>
      </c>
    </row>
    <row r="64" spans="1:20" s="19" customFormat="1" ht="15" customHeight="1" x14ac:dyDescent="0.25">
      <c r="A64" s="37"/>
      <c r="B64" s="38" t="s">
        <v>204</v>
      </c>
      <c r="C64" s="36">
        <f>'C08'!C64</f>
        <v>0</v>
      </c>
      <c r="D64" s="60">
        <v>144.21972515229075</v>
      </c>
      <c r="E64" s="61">
        <v>100</v>
      </c>
      <c r="F64" s="58">
        <v>27.039455552636081</v>
      </c>
      <c r="G64" s="62">
        <v>4.6801594972731335</v>
      </c>
      <c r="H64" s="62">
        <v>1.9212423227278417</v>
      </c>
      <c r="I64" s="62">
        <v>2.7398258623207634</v>
      </c>
      <c r="J64" s="62">
        <v>17.698227870314348</v>
      </c>
      <c r="K64" s="62">
        <v>0</v>
      </c>
      <c r="L64" s="62">
        <v>0</v>
      </c>
      <c r="M64" s="58">
        <v>9.5366421801774148</v>
      </c>
      <c r="N64" s="62">
        <v>6.5325051318473148</v>
      </c>
      <c r="O64" s="62">
        <v>3.0041370483300973</v>
      </c>
      <c r="P64" s="62">
        <v>0</v>
      </c>
      <c r="Q64" s="58">
        <v>63.423902267186335</v>
      </c>
      <c r="R64" s="62">
        <v>61.589478339970647</v>
      </c>
      <c r="S64" s="62">
        <v>1.8344239272156837</v>
      </c>
      <c r="T64" s="62">
        <v>0</v>
      </c>
    </row>
    <row r="65" spans="1:20" s="19" customFormat="1" ht="15" customHeight="1" x14ac:dyDescent="0.25">
      <c r="A65" s="37"/>
      <c r="B65" s="38" t="s">
        <v>58</v>
      </c>
      <c r="C65" s="36">
        <f>'C08'!C65</f>
        <v>0</v>
      </c>
      <c r="D65" s="60">
        <v>0</v>
      </c>
      <c r="E65" s="61">
        <v>0</v>
      </c>
      <c r="F65" s="58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58">
        <v>0</v>
      </c>
      <c r="N65" s="62">
        <v>0</v>
      </c>
      <c r="O65" s="62">
        <v>0</v>
      </c>
      <c r="P65" s="62">
        <v>0</v>
      </c>
      <c r="Q65" s="58">
        <v>0</v>
      </c>
      <c r="R65" s="62">
        <v>0</v>
      </c>
      <c r="S65" s="62">
        <v>0</v>
      </c>
      <c r="T65" s="62">
        <v>0</v>
      </c>
    </row>
    <row r="66" spans="1:20" s="19" customFormat="1" ht="15" customHeight="1" x14ac:dyDescent="0.25">
      <c r="A66" s="37"/>
      <c r="B66" s="38" t="s">
        <v>59</v>
      </c>
      <c r="C66" s="36">
        <f>'C08'!C66</f>
        <v>0</v>
      </c>
      <c r="D66" s="60">
        <v>0</v>
      </c>
      <c r="E66" s="61">
        <v>0</v>
      </c>
      <c r="F66" s="58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58">
        <v>0</v>
      </c>
      <c r="N66" s="62">
        <v>0</v>
      </c>
      <c r="O66" s="62">
        <v>0</v>
      </c>
      <c r="P66" s="62">
        <v>0</v>
      </c>
      <c r="Q66" s="58">
        <v>0</v>
      </c>
      <c r="R66" s="62">
        <v>0</v>
      </c>
      <c r="S66" s="62">
        <v>0</v>
      </c>
      <c r="T66" s="62">
        <v>0</v>
      </c>
    </row>
    <row r="67" spans="1:20" s="19" customFormat="1" ht="15" customHeight="1" x14ac:dyDescent="0.25">
      <c r="A67" s="37"/>
      <c r="B67" s="38" t="s">
        <v>61</v>
      </c>
      <c r="C67" s="36">
        <f>'C08'!C67</f>
        <v>0</v>
      </c>
      <c r="D67" s="60">
        <v>3151.5039225209625</v>
      </c>
      <c r="E67" s="61">
        <v>100</v>
      </c>
      <c r="F67" s="58">
        <v>40.071777266728958</v>
      </c>
      <c r="G67" s="62">
        <v>9.0062056850170418</v>
      </c>
      <c r="H67" s="62">
        <v>3.7707510030269779E-2</v>
      </c>
      <c r="I67" s="62">
        <v>3.9838877247741951</v>
      </c>
      <c r="J67" s="62">
        <v>26.024780566413682</v>
      </c>
      <c r="K67" s="62">
        <v>1.0088595219182821</v>
      </c>
      <c r="L67" s="62">
        <v>1.0336258575579882E-2</v>
      </c>
      <c r="M67" s="58">
        <v>26.631082351915513</v>
      </c>
      <c r="N67" s="62">
        <v>17.438812658299231</v>
      </c>
      <c r="O67" s="62">
        <v>9.0103874973020925</v>
      </c>
      <c r="P67" s="62">
        <v>0.18188219631424643</v>
      </c>
      <c r="Q67" s="58">
        <v>33.297140381355213</v>
      </c>
      <c r="R67" s="62">
        <v>24.044915726666233</v>
      </c>
      <c r="S67" s="62">
        <v>9.2522246546890106</v>
      </c>
      <c r="T67" s="62">
        <v>0</v>
      </c>
    </row>
    <row r="68" spans="1:20" s="19" customFormat="1" ht="15" customHeight="1" x14ac:dyDescent="0.25">
      <c r="A68" s="37"/>
      <c r="B68" s="38" t="s">
        <v>60</v>
      </c>
      <c r="C68" s="36"/>
      <c r="D68" s="60">
        <v>0</v>
      </c>
      <c r="E68" s="61">
        <v>0</v>
      </c>
      <c r="F68" s="58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58">
        <v>0</v>
      </c>
      <c r="N68" s="62">
        <v>0</v>
      </c>
      <c r="O68" s="62">
        <v>0</v>
      </c>
      <c r="P68" s="62">
        <v>0</v>
      </c>
      <c r="Q68" s="58">
        <v>0</v>
      </c>
      <c r="R68" s="62">
        <v>0</v>
      </c>
      <c r="S68" s="62">
        <v>0</v>
      </c>
      <c r="T68" s="62">
        <v>0</v>
      </c>
    </row>
    <row r="69" spans="1:20" s="19" customFormat="1" ht="15" customHeight="1" x14ac:dyDescent="0.25">
      <c r="A69" s="37"/>
      <c r="B69" s="38" t="s">
        <v>117</v>
      </c>
      <c r="C69" s="36"/>
      <c r="D69" s="60">
        <v>75.247511162528198</v>
      </c>
      <c r="E69" s="61">
        <v>100</v>
      </c>
      <c r="F69" s="58">
        <v>14.662512861753322</v>
      </c>
      <c r="G69" s="62">
        <v>0</v>
      </c>
      <c r="H69" s="62">
        <v>0</v>
      </c>
      <c r="I69" s="62">
        <v>0.77072135292097055</v>
      </c>
      <c r="J69" s="62">
        <v>13.891791508832352</v>
      </c>
      <c r="K69" s="62">
        <v>0</v>
      </c>
      <c r="L69" s="62">
        <v>0</v>
      </c>
      <c r="M69" s="58">
        <v>0</v>
      </c>
      <c r="N69" s="62">
        <v>0</v>
      </c>
      <c r="O69" s="62">
        <v>0</v>
      </c>
      <c r="P69" s="62">
        <v>0</v>
      </c>
      <c r="Q69" s="58">
        <v>85.337487138246715</v>
      </c>
      <c r="R69" s="62">
        <v>42.39676888380157</v>
      </c>
      <c r="S69" s="62">
        <v>42.94071825444513</v>
      </c>
      <c r="T69" s="62">
        <v>0</v>
      </c>
    </row>
    <row r="70" spans="1:20" s="19" customFormat="1" ht="15" customHeight="1" x14ac:dyDescent="0.25">
      <c r="A70" s="37" t="s">
        <v>5</v>
      </c>
      <c r="B70" s="38"/>
      <c r="C70" s="36" t="str">
        <f>'C08'!C70</f>
        <v>***</v>
      </c>
      <c r="D70" s="60"/>
      <c r="E70" s="61"/>
      <c r="F70" s="58"/>
      <c r="G70" s="62"/>
      <c r="H70" s="62"/>
      <c r="I70" s="62"/>
      <c r="J70" s="62"/>
      <c r="K70" s="62"/>
      <c r="L70" s="62"/>
      <c r="M70" s="58"/>
      <c r="N70" s="62"/>
      <c r="O70" s="62"/>
      <c r="P70" s="62"/>
      <c r="Q70" s="58"/>
      <c r="R70" s="62"/>
      <c r="S70" s="62"/>
      <c r="T70" s="62"/>
    </row>
    <row r="71" spans="1:20" s="19" customFormat="1" ht="15" customHeight="1" x14ac:dyDescent="0.25">
      <c r="A71" s="37"/>
      <c r="B71" s="38" t="s">
        <v>6</v>
      </c>
      <c r="C71" s="36">
        <f>'C08'!C71</f>
        <v>0</v>
      </c>
      <c r="D71" s="60">
        <v>31606.999874662233</v>
      </c>
      <c r="E71" s="61">
        <v>100</v>
      </c>
      <c r="F71" s="58">
        <v>13.606960846471052</v>
      </c>
      <c r="G71" s="62">
        <v>5.7167236502846057</v>
      </c>
      <c r="H71" s="62">
        <v>0.32238471463746809</v>
      </c>
      <c r="I71" s="62">
        <v>1.1101116873290833</v>
      </c>
      <c r="J71" s="62">
        <v>5.039348761960003</v>
      </c>
      <c r="K71" s="62">
        <v>1.3403045116416821</v>
      </c>
      <c r="L71" s="62">
        <v>7.8087520618180306E-2</v>
      </c>
      <c r="M71" s="58">
        <v>6.2902718745452502</v>
      </c>
      <c r="N71" s="62">
        <v>4.8298996831485272</v>
      </c>
      <c r="O71" s="62">
        <v>1.2971456026215755</v>
      </c>
      <c r="P71" s="62">
        <v>0.16322658877514729</v>
      </c>
      <c r="Q71" s="58">
        <v>80.102767278984118</v>
      </c>
      <c r="R71" s="62">
        <v>48.856461772311583</v>
      </c>
      <c r="S71" s="62">
        <v>29.286710386426925</v>
      </c>
      <c r="T71" s="62">
        <v>1.9595951202451007</v>
      </c>
    </row>
    <row r="72" spans="1:20" s="19" customFormat="1" ht="15" customHeight="1" x14ac:dyDescent="0.25">
      <c r="A72" s="37"/>
      <c r="B72" s="38" t="s">
        <v>7</v>
      </c>
      <c r="C72" s="36">
        <f>'C08'!C72</f>
        <v>0</v>
      </c>
      <c r="D72" s="60">
        <v>3606.8268745052992</v>
      </c>
      <c r="E72" s="61">
        <v>100</v>
      </c>
      <c r="F72" s="58">
        <v>38.165368359905692</v>
      </c>
      <c r="G72" s="62">
        <v>9.0635979317864575</v>
      </c>
      <c r="H72" s="62">
        <v>0.10976861914337223</v>
      </c>
      <c r="I72" s="62">
        <v>3.5673092146330063</v>
      </c>
      <c r="J72" s="62">
        <v>24.484741505436574</v>
      </c>
      <c r="K72" s="62">
        <v>0.93091967138107301</v>
      </c>
      <c r="L72" s="62">
        <v>9.0314175253002078E-3</v>
      </c>
      <c r="M72" s="58">
        <v>24.897664048620673</v>
      </c>
      <c r="N72" s="62">
        <v>16.390648973160015</v>
      </c>
      <c r="O72" s="62">
        <v>8.1701666558582495</v>
      </c>
      <c r="P72" s="62">
        <v>0.33684841960245215</v>
      </c>
      <c r="Q72" s="58">
        <v>36.936967591473476</v>
      </c>
      <c r="R72" s="62">
        <v>27.762159467612005</v>
      </c>
      <c r="S72" s="62">
        <v>9.1669581424077009</v>
      </c>
      <c r="T72" s="62">
        <v>7.8499814537291678E-3</v>
      </c>
    </row>
    <row r="73" spans="1:20" s="19" customFormat="1" ht="15" customHeight="1" x14ac:dyDescent="0.25">
      <c r="A73" s="37" t="s">
        <v>72</v>
      </c>
      <c r="B73" s="38"/>
      <c r="C73" s="36" t="str">
        <f>'C08'!C77</f>
        <v>***</v>
      </c>
      <c r="D73" s="60"/>
      <c r="E73" s="61"/>
      <c r="F73" s="58"/>
      <c r="G73" s="62"/>
      <c r="H73" s="62"/>
      <c r="I73" s="62"/>
      <c r="J73" s="62"/>
      <c r="K73" s="62"/>
      <c r="L73" s="62"/>
      <c r="M73" s="58"/>
      <c r="N73" s="62"/>
      <c r="O73" s="62"/>
      <c r="P73" s="62"/>
      <c r="Q73" s="58"/>
      <c r="R73" s="62"/>
      <c r="S73" s="62"/>
      <c r="T73" s="62"/>
    </row>
    <row r="74" spans="1:20" s="19" customFormat="1" ht="15" customHeight="1" x14ac:dyDescent="0.25">
      <c r="A74" s="37"/>
      <c r="B74" s="38" t="s">
        <v>123</v>
      </c>
      <c r="C74" s="36">
        <f>'C08'!C78</f>
        <v>0</v>
      </c>
      <c r="D74" s="60">
        <v>2883.4559536644701</v>
      </c>
      <c r="E74" s="61">
        <v>100</v>
      </c>
      <c r="F74" s="58">
        <v>19.974767055853086</v>
      </c>
      <c r="G74" s="62">
        <v>5.3605775137548752</v>
      </c>
      <c r="H74" s="62">
        <v>0.15811268110877363</v>
      </c>
      <c r="I74" s="62">
        <v>2.4162140302828718</v>
      </c>
      <c r="J74" s="62">
        <v>11.784275774340889</v>
      </c>
      <c r="K74" s="62">
        <v>0.19707863616064089</v>
      </c>
      <c r="L74" s="62">
        <v>5.8508420204978318E-2</v>
      </c>
      <c r="M74" s="58">
        <v>8.9767979750783553</v>
      </c>
      <c r="N74" s="62">
        <v>6.2292252194667448</v>
      </c>
      <c r="O74" s="62">
        <v>2.6064933903220613</v>
      </c>
      <c r="P74" s="62">
        <v>0.14107936528955572</v>
      </c>
      <c r="Q74" s="58">
        <v>71.048434969068794</v>
      </c>
      <c r="R74" s="62">
        <v>38.366057511569693</v>
      </c>
      <c r="S74" s="62">
        <v>28.494771315255107</v>
      </c>
      <c r="T74" s="62">
        <v>4.1876061422440332</v>
      </c>
    </row>
    <row r="75" spans="1:20" s="19" customFormat="1" ht="15" customHeight="1" x14ac:dyDescent="0.25">
      <c r="A75" s="37"/>
      <c r="B75" s="38" t="s">
        <v>124</v>
      </c>
      <c r="C75" s="36">
        <f>'C08'!C79</f>
        <v>0</v>
      </c>
      <c r="D75" s="60">
        <v>11625.420371091244</v>
      </c>
      <c r="E75" s="61">
        <v>100</v>
      </c>
      <c r="F75" s="58">
        <v>14.025713080758415</v>
      </c>
      <c r="G75" s="62">
        <v>5.3520478461351333</v>
      </c>
      <c r="H75" s="62">
        <v>0.1187340979988261</v>
      </c>
      <c r="I75" s="62">
        <v>1.2052959344556013</v>
      </c>
      <c r="J75" s="62">
        <v>5.9725236059207818</v>
      </c>
      <c r="K75" s="62">
        <v>1.3707483539040202</v>
      </c>
      <c r="L75" s="62">
        <v>6.3632423440265441E-3</v>
      </c>
      <c r="M75" s="58">
        <v>7.3783215761463961</v>
      </c>
      <c r="N75" s="62">
        <v>5.335076944103462</v>
      </c>
      <c r="O75" s="62">
        <v>1.778276039235978</v>
      </c>
      <c r="P75" s="62">
        <v>0.26496859280696416</v>
      </c>
      <c r="Q75" s="58">
        <v>78.595965343094633</v>
      </c>
      <c r="R75" s="62">
        <v>49.169445579566549</v>
      </c>
      <c r="S75" s="62">
        <v>28.159705483271193</v>
      </c>
      <c r="T75" s="62">
        <v>1.2668142802572346</v>
      </c>
    </row>
    <row r="76" spans="1:20" s="19" customFormat="1" ht="15" customHeight="1" x14ac:dyDescent="0.25">
      <c r="A76" s="37"/>
      <c r="B76" s="38" t="s">
        <v>219</v>
      </c>
      <c r="C76" s="36"/>
      <c r="D76" s="60">
        <v>2190.8082980227573</v>
      </c>
      <c r="E76" s="61">
        <v>100</v>
      </c>
      <c r="F76" s="58">
        <v>18.720471271782362</v>
      </c>
      <c r="G76" s="62">
        <v>7.4345912266184699</v>
      </c>
      <c r="H76" s="62">
        <v>2.6112458564487361E-2</v>
      </c>
      <c r="I76" s="62">
        <v>0.74457405886240335</v>
      </c>
      <c r="J76" s="62">
        <v>6.7978206680218864</v>
      </c>
      <c r="K76" s="62">
        <v>2.7784621613058649</v>
      </c>
      <c r="L76" s="62">
        <v>0.93891069840925179</v>
      </c>
      <c r="M76" s="58">
        <v>9.5716886761900408</v>
      </c>
      <c r="N76" s="62">
        <v>7.8277415331731879</v>
      </c>
      <c r="O76" s="62">
        <v>1.7439471430168552</v>
      </c>
      <c r="P76" s="62">
        <v>0</v>
      </c>
      <c r="Q76" s="58">
        <v>71.70784005202745</v>
      </c>
      <c r="R76" s="62">
        <v>45.858175957425182</v>
      </c>
      <c r="S76" s="62">
        <v>24.289585310925233</v>
      </c>
      <c r="T76" s="62">
        <v>1.5600787836771803</v>
      </c>
    </row>
    <row r="77" spans="1:20" s="19" customFormat="1" ht="15" customHeight="1" x14ac:dyDescent="0.25">
      <c r="A77" s="37"/>
      <c r="B77" s="38" t="s">
        <v>214</v>
      </c>
      <c r="C77" s="36"/>
      <c r="D77" s="60">
        <v>814.46489166770016</v>
      </c>
      <c r="E77" s="61">
        <v>100</v>
      </c>
      <c r="F77" s="58">
        <v>13.77682154670889</v>
      </c>
      <c r="G77" s="62">
        <v>4.2887537590365348</v>
      </c>
      <c r="H77" s="62">
        <v>0.82702749810543208</v>
      </c>
      <c r="I77" s="62">
        <v>1.2441625100185034</v>
      </c>
      <c r="J77" s="62">
        <v>6.479320065292657</v>
      </c>
      <c r="K77" s="62">
        <v>0.92547091833813988</v>
      </c>
      <c r="L77" s="62">
        <v>1.2086795917629787E-2</v>
      </c>
      <c r="M77" s="58">
        <v>11.588718795291442</v>
      </c>
      <c r="N77" s="62">
        <v>7.9778290937717005</v>
      </c>
      <c r="O77" s="62">
        <v>3.6108897015197425</v>
      </c>
      <c r="P77" s="62">
        <v>0</v>
      </c>
      <c r="Q77" s="58">
        <v>74.634459657999926</v>
      </c>
      <c r="R77" s="62">
        <v>51.805300083658821</v>
      </c>
      <c r="S77" s="62">
        <v>19.844608772319265</v>
      </c>
      <c r="T77" s="62">
        <v>2.9845508020218463</v>
      </c>
    </row>
    <row r="78" spans="1:20" s="19" customFormat="1" ht="15" customHeight="1" x14ac:dyDescent="0.25">
      <c r="A78" s="37"/>
      <c r="B78" s="38" t="s">
        <v>216</v>
      </c>
      <c r="C78" s="36"/>
      <c r="D78" s="60">
        <v>702.73951713925601</v>
      </c>
      <c r="E78" s="61">
        <v>100</v>
      </c>
      <c r="F78" s="58">
        <v>15.881996160341341</v>
      </c>
      <c r="G78" s="62">
        <v>5.1626545641542787</v>
      </c>
      <c r="H78" s="62">
        <v>9.5320072065450567E-2</v>
      </c>
      <c r="I78" s="62">
        <v>0.28998343455616515</v>
      </c>
      <c r="J78" s="62">
        <v>7.1139773131960187</v>
      </c>
      <c r="K78" s="62">
        <v>3.2046799199375728</v>
      </c>
      <c r="L78" s="62">
        <v>1.5380856431850299E-2</v>
      </c>
      <c r="M78" s="58">
        <v>8.3568457130602685</v>
      </c>
      <c r="N78" s="62">
        <v>3.9938440393370098</v>
      </c>
      <c r="O78" s="62">
        <v>4.3630016737232635</v>
      </c>
      <c r="P78" s="62">
        <v>0</v>
      </c>
      <c r="Q78" s="58">
        <v>75.761158126598346</v>
      </c>
      <c r="R78" s="62">
        <v>52.937421480976433</v>
      </c>
      <c r="S78" s="62">
        <v>18.075955021060516</v>
      </c>
      <c r="T78" s="62">
        <v>4.747781624561437</v>
      </c>
    </row>
    <row r="79" spans="1:20" s="19" customFormat="1" ht="15" customHeight="1" x14ac:dyDescent="0.25">
      <c r="A79" s="37"/>
      <c r="B79" s="38" t="s">
        <v>218</v>
      </c>
      <c r="C79" s="36">
        <f>'C08'!C83</f>
        <v>0</v>
      </c>
      <c r="D79" s="60">
        <v>2266.9547322450576</v>
      </c>
      <c r="E79" s="61">
        <v>100</v>
      </c>
      <c r="F79" s="58">
        <v>18.180447704535812</v>
      </c>
      <c r="G79" s="62">
        <v>4.3249516085778925</v>
      </c>
      <c r="H79" s="62">
        <v>0.25183702088530013</v>
      </c>
      <c r="I79" s="62">
        <v>1.9087452046877156</v>
      </c>
      <c r="J79" s="62">
        <v>11.34364308567983</v>
      </c>
      <c r="K79" s="62">
        <v>0.33592598884566277</v>
      </c>
      <c r="L79" s="62">
        <v>1.5344795859389434E-2</v>
      </c>
      <c r="M79" s="58">
        <v>11.525717702136989</v>
      </c>
      <c r="N79" s="62">
        <v>7.2040525817511316</v>
      </c>
      <c r="O79" s="62">
        <v>4.0948603555588532</v>
      </c>
      <c r="P79" s="62">
        <v>0.2268047648269913</v>
      </c>
      <c r="Q79" s="58">
        <v>70.293834593327617</v>
      </c>
      <c r="R79" s="62">
        <v>39.890983108542478</v>
      </c>
      <c r="S79" s="62">
        <v>27.562555730716493</v>
      </c>
      <c r="T79" s="62">
        <v>2.8402957540685403</v>
      </c>
    </row>
    <row r="80" spans="1:20" s="19" customFormat="1" ht="15" customHeight="1" x14ac:dyDescent="0.25">
      <c r="A80" s="37"/>
      <c r="B80" s="38" t="s">
        <v>125</v>
      </c>
      <c r="C80" s="36">
        <f>'C08'!C84</f>
        <v>0</v>
      </c>
      <c r="D80" s="60">
        <v>10211.241589200348</v>
      </c>
      <c r="E80" s="61">
        <v>100</v>
      </c>
      <c r="F80" s="58">
        <v>15.693966928029234</v>
      </c>
      <c r="G80" s="62">
        <v>5.9834870941154028</v>
      </c>
      <c r="H80" s="62">
        <v>0.57662813364011434</v>
      </c>
      <c r="I80" s="62">
        <v>1.3595951305180332</v>
      </c>
      <c r="J80" s="62">
        <v>6.4030761079977827</v>
      </c>
      <c r="K80" s="62">
        <v>1.3569223640038486</v>
      </c>
      <c r="L80" s="62">
        <v>1.4258097754024509E-2</v>
      </c>
      <c r="M80" s="58">
        <v>7.4867741565040706</v>
      </c>
      <c r="N80" s="62">
        <v>5.8167821634392585</v>
      </c>
      <c r="O80" s="62">
        <v>1.4390856756609365</v>
      </c>
      <c r="P80" s="62">
        <v>0.23090631740388332</v>
      </c>
      <c r="Q80" s="58">
        <v>76.819258915466506</v>
      </c>
      <c r="R80" s="62">
        <v>46.91161581221597</v>
      </c>
      <c r="S80" s="62">
        <v>28.503344585277556</v>
      </c>
      <c r="T80" s="62">
        <v>1.4042985179730509</v>
      </c>
    </row>
    <row r="81" spans="1:20" s="19" customFormat="1" ht="15" customHeight="1" x14ac:dyDescent="0.25">
      <c r="A81" s="37"/>
      <c r="B81" s="38" t="s">
        <v>161</v>
      </c>
      <c r="C81" s="36">
        <f>'C08'!C85</f>
        <v>0</v>
      </c>
      <c r="D81" s="60">
        <v>3608.3151284659612</v>
      </c>
      <c r="E81" s="61">
        <v>100</v>
      </c>
      <c r="F81" s="58">
        <v>19.556622276877992</v>
      </c>
      <c r="G81" s="62">
        <v>10.32319152681435</v>
      </c>
      <c r="H81" s="62">
        <v>0.39275855103740437</v>
      </c>
      <c r="I81" s="62">
        <v>1.2834461005139164</v>
      </c>
      <c r="J81" s="62">
        <v>6.4089751775958641</v>
      </c>
      <c r="K81" s="62">
        <v>1.1482509209164469</v>
      </c>
      <c r="L81" s="62">
        <v>0</v>
      </c>
      <c r="M81" s="58">
        <v>8.5702849943446786</v>
      </c>
      <c r="N81" s="62">
        <v>6.9247719094952149</v>
      </c>
      <c r="O81" s="62">
        <v>1.6413856835057863</v>
      </c>
      <c r="P81" s="62">
        <v>4.127401343677675E-3</v>
      </c>
      <c r="Q81" s="58">
        <v>71.873092728777152</v>
      </c>
      <c r="R81" s="62">
        <v>45.813672286868446</v>
      </c>
      <c r="S81" s="62">
        <v>25.124463003467781</v>
      </c>
      <c r="T81" s="62">
        <v>0.93495743844107415</v>
      </c>
    </row>
    <row r="82" spans="1:20" s="19" customFormat="1" ht="15" customHeight="1" x14ac:dyDescent="0.25">
      <c r="A82" s="37"/>
      <c r="B82" s="38" t="s">
        <v>162</v>
      </c>
      <c r="C82" s="36">
        <f>'C08'!C86</f>
        <v>0</v>
      </c>
      <c r="D82" s="60">
        <v>717.40410833801184</v>
      </c>
      <c r="E82" s="61">
        <v>100</v>
      </c>
      <c r="F82" s="58">
        <v>12.623605730129446</v>
      </c>
      <c r="G82" s="62">
        <v>3.9768390911281082</v>
      </c>
      <c r="H82" s="62">
        <v>0.10498814400650819</v>
      </c>
      <c r="I82" s="62">
        <v>0.43252305688823867</v>
      </c>
      <c r="J82" s="62">
        <v>6.2088785166130664</v>
      </c>
      <c r="K82" s="62">
        <v>1.9003769214935258</v>
      </c>
      <c r="L82" s="62">
        <v>0</v>
      </c>
      <c r="M82" s="58">
        <v>8.8660334203185016</v>
      </c>
      <c r="N82" s="62">
        <v>6.1324024103206192</v>
      </c>
      <c r="O82" s="62">
        <v>2.7336310099978811</v>
      </c>
      <c r="P82" s="62">
        <v>0</v>
      </c>
      <c r="Q82" s="58">
        <v>78.510360849552072</v>
      </c>
      <c r="R82" s="62">
        <v>54.269349297087359</v>
      </c>
      <c r="S82" s="62">
        <v>23.250671395610073</v>
      </c>
      <c r="T82" s="62">
        <v>0.99034015685471188</v>
      </c>
    </row>
    <row r="83" spans="1:20" s="19" customFormat="1" ht="15" customHeight="1" x14ac:dyDescent="0.25">
      <c r="A83" s="37"/>
      <c r="B83" s="38" t="s">
        <v>75</v>
      </c>
      <c r="C83" s="36">
        <f>'C08'!C87</f>
        <v>0</v>
      </c>
      <c r="D83" s="60">
        <v>193.02215933265762</v>
      </c>
      <c r="E83" s="61">
        <v>100</v>
      </c>
      <c r="F83" s="58">
        <v>13.43620089770039</v>
      </c>
      <c r="G83" s="62">
        <v>6.6732315233974706</v>
      </c>
      <c r="H83" s="62">
        <v>0</v>
      </c>
      <c r="I83" s="62">
        <v>5.0509973884355395</v>
      </c>
      <c r="J83" s="62">
        <v>1.711971985867381</v>
      </c>
      <c r="K83" s="62">
        <v>0</v>
      </c>
      <c r="L83" s="62">
        <v>0</v>
      </c>
      <c r="M83" s="58">
        <v>4.2197829151016046</v>
      </c>
      <c r="N83" s="62">
        <v>1.1671683139338873</v>
      </c>
      <c r="O83" s="62">
        <v>3.0526146011677171</v>
      </c>
      <c r="P83" s="62">
        <v>0</v>
      </c>
      <c r="Q83" s="58">
        <v>82.34401618719798</v>
      </c>
      <c r="R83" s="62">
        <v>44.221699482039661</v>
      </c>
      <c r="S83" s="62">
        <v>32.342865316173267</v>
      </c>
      <c r="T83" s="62">
        <v>5.7794513889850814</v>
      </c>
    </row>
    <row r="84" spans="1:20" s="52" customFormat="1" ht="15" customHeight="1" x14ac:dyDescent="0.25">
      <c r="A84" s="63"/>
      <c r="B84" s="64"/>
      <c r="C84" s="65"/>
      <c r="D84" s="66"/>
      <c r="E84" s="67"/>
      <c r="F84" s="68"/>
      <c r="G84" s="69"/>
      <c r="H84" s="69"/>
      <c r="I84" s="69"/>
      <c r="J84" s="69"/>
      <c r="K84" s="69"/>
      <c r="L84" s="69"/>
      <c r="M84" s="68"/>
      <c r="N84" s="69"/>
      <c r="O84" s="69"/>
      <c r="P84" s="69"/>
      <c r="Q84" s="68"/>
      <c r="R84" s="69"/>
      <c r="S84" s="69"/>
      <c r="T84" s="69"/>
    </row>
    <row r="85" spans="1:20" s="73" customFormat="1" ht="15" customHeight="1" x14ac:dyDescent="0.25">
      <c r="A85" s="30"/>
      <c r="B85" s="70"/>
      <c r="C85" s="108"/>
      <c r="D85" s="145"/>
      <c r="E85" s="110"/>
      <c r="F85" s="72"/>
      <c r="G85" s="71"/>
      <c r="H85" s="71"/>
      <c r="I85" s="71"/>
      <c r="J85" s="71"/>
      <c r="K85" s="71"/>
      <c r="L85" s="71"/>
      <c r="M85" s="72"/>
      <c r="N85" s="71"/>
      <c r="O85" s="71"/>
      <c r="P85" s="71"/>
      <c r="Q85" s="72"/>
      <c r="R85" s="71"/>
      <c r="S85" s="71"/>
      <c r="T85" s="71"/>
    </row>
    <row r="86" spans="1:20" s="19" customFormat="1" ht="15" customHeight="1" x14ac:dyDescent="0.25">
      <c r="A86" s="37" t="s">
        <v>62</v>
      </c>
      <c r="B86" s="38"/>
      <c r="C86" s="36" t="s">
        <v>19</v>
      </c>
      <c r="D86" s="60"/>
      <c r="E86" s="61"/>
      <c r="F86" s="58"/>
      <c r="G86" s="62"/>
      <c r="H86" s="62"/>
      <c r="I86" s="62"/>
      <c r="J86" s="62"/>
      <c r="K86" s="62"/>
      <c r="L86" s="62"/>
      <c r="M86" s="58"/>
      <c r="N86" s="62"/>
      <c r="O86" s="62"/>
      <c r="P86" s="62"/>
      <c r="Q86" s="58"/>
      <c r="R86" s="62"/>
      <c r="S86" s="62"/>
      <c r="T86" s="62"/>
    </row>
    <row r="87" spans="1:20" s="19" customFormat="1" ht="15" customHeight="1" x14ac:dyDescent="0.25">
      <c r="A87" s="37"/>
      <c r="B87" s="38" t="s">
        <v>129</v>
      </c>
      <c r="C87" s="36"/>
      <c r="D87" s="60">
        <v>27633.72624985117</v>
      </c>
      <c r="E87" s="61">
        <v>100</v>
      </c>
      <c r="F87" s="58">
        <v>18.437832221335505</v>
      </c>
      <c r="G87" s="62">
        <v>4.7975383045016482</v>
      </c>
      <c r="H87" s="62">
        <v>7.6943966957789628E-2</v>
      </c>
      <c r="I87" s="62">
        <v>1.2585348429015393</v>
      </c>
      <c r="J87" s="62">
        <v>10.82298279672329</v>
      </c>
      <c r="K87" s="62">
        <v>1.4590229256757665</v>
      </c>
      <c r="L87" s="62">
        <v>2.2809384575492846E-2</v>
      </c>
      <c r="M87" s="58">
        <v>8.8333545125466575</v>
      </c>
      <c r="N87" s="62">
        <v>4.3514976512504671</v>
      </c>
      <c r="O87" s="62">
        <v>4.4818568612961789</v>
      </c>
      <c r="P87" s="62">
        <v>0</v>
      </c>
      <c r="Q87" s="58">
        <v>72.72881326611892</v>
      </c>
      <c r="R87" s="62">
        <v>47.438522079817304</v>
      </c>
      <c r="S87" s="62">
        <v>24.038495522026928</v>
      </c>
      <c r="T87" s="62">
        <v>1.2517956642747043</v>
      </c>
    </row>
    <row r="88" spans="1:20" s="19" customFormat="1" ht="15" customHeight="1" x14ac:dyDescent="0.25">
      <c r="A88" s="37"/>
      <c r="B88" s="38" t="s">
        <v>130</v>
      </c>
      <c r="C88" s="36"/>
      <c r="D88" s="60">
        <v>43802.335342360508</v>
      </c>
      <c r="E88" s="61">
        <v>100</v>
      </c>
      <c r="F88" s="58">
        <v>18.668731902977868</v>
      </c>
      <c r="G88" s="62">
        <v>4.8252034264632861</v>
      </c>
      <c r="H88" s="62">
        <v>0.1093573874067902</v>
      </c>
      <c r="I88" s="62">
        <v>1.5163670997997714</v>
      </c>
      <c r="J88" s="62">
        <v>11.443079348612006</v>
      </c>
      <c r="K88" s="62">
        <v>0.74452246389480736</v>
      </c>
      <c r="L88" s="62">
        <v>3.0202176801086597E-2</v>
      </c>
      <c r="M88" s="58">
        <v>7.2483569007375825</v>
      </c>
      <c r="N88" s="62">
        <v>3.7243837968337656</v>
      </c>
      <c r="O88" s="62">
        <v>3.5239731039038298</v>
      </c>
      <c r="P88" s="62">
        <v>0</v>
      </c>
      <c r="Q88" s="58">
        <v>74.082911196287299</v>
      </c>
      <c r="R88" s="62">
        <v>47.400784481631902</v>
      </c>
      <c r="S88" s="62">
        <v>23.654828036235202</v>
      </c>
      <c r="T88" s="62">
        <v>3.0272986784194633</v>
      </c>
    </row>
    <row r="89" spans="1:20" s="19" customFormat="1" ht="15" customHeight="1" x14ac:dyDescent="0.25">
      <c r="A89" s="37"/>
      <c r="B89" s="38" t="s">
        <v>131</v>
      </c>
      <c r="C89" s="36"/>
      <c r="D89" s="60">
        <v>43674.039123467192</v>
      </c>
      <c r="E89" s="61">
        <v>100</v>
      </c>
      <c r="F89" s="58">
        <v>19.321116419175027</v>
      </c>
      <c r="G89" s="62">
        <v>5.0610737997355582</v>
      </c>
      <c r="H89" s="62">
        <v>0.11233072868835516</v>
      </c>
      <c r="I89" s="62">
        <v>1.7076805912983466</v>
      </c>
      <c r="J89" s="62">
        <v>11.480173992649487</v>
      </c>
      <c r="K89" s="62">
        <v>0.90393239893163702</v>
      </c>
      <c r="L89" s="62">
        <v>5.5924907871706869E-2</v>
      </c>
      <c r="M89" s="58">
        <v>6.9721829637657544</v>
      </c>
      <c r="N89" s="62">
        <v>3.6220249310176906</v>
      </c>
      <c r="O89" s="62">
        <v>3.3501580327480367</v>
      </c>
      <c r="P89" s="62">
        <v>0</v>
      </c>
      <c r="Q89" s="58">
        <v>73.706700617058104</v>
      </c>
      <c r="R89" s="62">
        <v>47.9619468142877</v>
      </c>
      <c r="S89" s="62">
        <v>23.764643386376701</v>
      </c>
      <c r="T89" s="62">
        <v>1.9801104163928183</v>
      </c>
    </row>
    <row r="90" spans="1:20" s="19" customFormat="1" ht="15" customHeight="1" x14ac:dyDescent="0.25">
      <c r="A90" s="37"/>
      <c r="B90" s="38" t="s">
        <v>132</v>
      </c>
      <c r="C90" s="36"/>
      <c r="D90" s="60">
        <v>43560.030920670899</v>
      </c>
      <c r="E90" s="61">
        <v>100</v>
      </c>
      <c r="F90" s="58">
        <v>19.153985597356801</v>
      </c>
      <c r="G90" s="62">
        <v>4.8804399059021506</v>
      </c>
      <c r="H90" s="62">
        <v>0.13878628799678339</v>
      </c>
      <c r="I90" s="62">
        <v>1.7339753158400892</v>
      </c>
      <c r="J90" s="62">
        <v>11.57973183449403</v>
      </c>
      <c r="K90" s="62">
        <v>0.80447627149967949</v>
      </c>
      <c r="L90" s="62">
        <v>1.6575981624126691E-2</v>
      </c>
      <c r="M90" s="58">
        <v>7.3888231015300665</v>
      </c>
      <c r="N90" s="62">
        <v>3.6960861675655701</v>
      </c>
      <c r="O90" s="62">
        <v>3.6927369339645026</v>
      </c>
      <c r="P90" s="62">
        <v>0</v>
      </c>
      <c r="Q90" s="58">
        <v>73.457191301112815</v>
      </c>
      <c r="R90" s="62">
        <v>48.31181596047329</v>
      </c>
      <c r="S90" s="62">
        <v>23.157740943681262</v>
      </c>
      <c r="T90" s="62">
        <v>1.9876343969581465</v>
      </c>
    </row>
    <row r="91" spans="1:20" s="19" customFormat="1" ht="15" customHeight="1" x14ac:dyDescent="0.25">
      <c r="A91" s="37"/>
      <c r="B91" s="38" t="s">
        <v>133</v>
      </c>
      <c r="C91" s="36"/>
      <c r="D91" s="60">
        <v>41540.903583568594</v>
      </c>
      <c r="E91" s="61">
        <v>100</v>
      </c>
      <c r="F91" s="58">
        <v>18.873065156603055</v>
      </c>
      <c r="G91" s="62">
        <v>5.6524042422902783</v>
      </c>
      <c r="H91" s="62">
        <v>0.10992159894290511</v>
      </c>
      <c r="I91" s="62">
        <v>1.5399096797154688</v>
      </c>
      <c r="J91" s="62">
        <v>10.63070858716981</v>
      </c>
      <c r="K91" s="62">
        <v>0.90433602196057439</v>
      </c>
      <c r="L91" s="62">
        <v>3.578502652399021E-2</v>
      </c>
      <c r="M91" s="58">
        <v>6.8228352642959029</v>
      </c>
      <c r="N91" s="62">
        <v>3.4134107733822399</v>
      </c>
      <c r="O91" s="62">
        <v>3.4094244909136386</v>
      </c>
      <c r="P91" s="62">
        <v>0</v>
      </c>
      <c r="Q91" s="58">
        <v>74.304099579103564</v>
      </c>
      <c r="R91" s="62">
        <v>48.65578469557078</v>
      </c>
      <c r="S91" s="62">
        <v>24.407985237771548</v>
      </c>
      <c r="T91" s="62">
        <v>1.2403296457616546</v>
      </c>
    </row>
    <row r="92" spans="1:20" s="19" customFormat="1" ht="15" customHeight="1" x14ac:dyDescent="0.25">
      <c r="A92" s="37"/>
      <c r="B92" s="38" t="s">
        <v>134</v>
      </c>
      <c r="C92" s="36"/>
      <c r="D92" s="60">
        <v>42721.740916576273</v>
      </c>
      <c r="E92" s="61">
        <v>100</v>
      </c>
      <c r="F92" s="58">
        <v>19.726468423998135</v>
      </c>
      <c r="G92" s="62">
        <v>6.1075964062555892</v>
      </c>
      <c r="H92" s="62">
        <v>0.18053205216530629</v>
      </c>
      <c r="I92" s="62">
        <v>1.5338417287869848</v>
      </c>
      <c r="J92" s="62">
        <v>10.667691827116339</v>
      </c>
      <c r="K92" s="62">
        <v>1.1911489248150899</v>
      </c>
      <c r="L92" s="62">
        <v>4.5657484858855735E-2</v>
      </c>
      <c r="M92" s="58">
        <v>6.8584695345333246</v>
      </c>
      <c r="N92" s="62">
        <v>3.8693466296865564</v>
      </c>
      <c r="O92" s="62">
        <v>2.9891229048467762</v>
      </c>
      <c r="P92" s="62">
        <v>0</v>
      </c>
      <c r="Q92" s="58">
        <v>73.415062041467067</v>
      </c>
      <c r="R92" s="62">
        <v>48.704246631451156</v>
      </c>
      <c r="S92" s="62">
        <v>23.431972015659376</v>
      </c>
      <c r="T92" s="62">
        <v>1.2788433943570976</v>
      </c>
    </row>
    <row r="93" spans="1:20" s="19" customFormat="1" ht="15" customHeight="1" x14ac:dyDescent="0.25">
      <c r="A93" s="37"/>
      <c r="B93" s="38" t="s">
        <v>135</v>
      </c>
      <c r="C93" s="36"/>
      <c r="D93" s="60">
        <v>41904.584474440984</v>
      </c>
      <c r="E93" s="61">
        <v>100</v>
      </c>
      <c r="F93" s="58">
        <v>19.912746441390784</v>
      </c>
      <c r="G93" s="62">
        <v>6.1581791508794552</v>
      </c>
      <c r="H93" s="62">
        <v>0.16165261043342868</v>
      </c>
      <c r="I93" s="62">
        <v>1.8432818637290287</v>
      </c>
      <c r="J93" s="62">
        <v>10.685953432678312</v>
      </c>
      <c r="K93" s="62">
        <v>1.02332804871706</v>
      </c>
      <c r="L93" s="62">
        <v>4.0351334953436596E-2</v>
      </c>
      <c r="M93" s="58">
        <v>6.1082601078903123</v>
      </c>
      <c r="N93" s="62">
        <v>3.1545216375529126</v>
      </c>
      <c r="O93" s="62">
        <v>2.9537384703373926</v>
      </c>
      <c r="P93" s="62">
        <v>0</v>
      </c>
      <c r="Q93" s="58">
        <v>73.978993450720196</v>
      </c>
      <c r="R93" s="62">
        <v>48.822120535118486</v>
      </c>
      <c r="S93" s="62">
        <v>23.922484418661419</v>
      </c>
      <c r="T93" s="62">
        <v>1.2343884969394849</v>
      </c>
    </row>
    <row r="94" spans="1:20" s="19" customFormat="1" ht="15" customHeight="1" x14ac:dyDescent="0.25">
      <c r="A94" s="37"/>
      <c r="B94" s="38" t="s">
        <v>136</v>
      </c>
      <c r="C94" s="36"/>
      <c r="D94" s="60">
        <v>42517.730059132366</v>
      </c>
      <c r="E94" s="61">
        <v>100</v>
      </c>
      <c r="F94" s="58">
        <v>19.467520422392937</v>
      </c>
      <c r="G94" s="62">
        <v>6.4001637028248419</v>
      </c>
      <c r="H94" s="62">
        <v>8.9432090541645054E-2</v>
      </c>
      <c r="I94" s="62">
        <v>1.3948162899476828</v>
      </c>
      <c r="J94" s="62">
        <v>10.768387108736478</v>
      </c>
      <c r="K94" s="62">
        <v>0.77661688722639677</v>
      </c>
      <c r="L94" s="62">
        <v>3.8104343115922937E-2</v>
      </c>
      <c r="M94" s="58">
        <v>7.2177226263967054</v>
      </c>
      <c r="N94" s="62">
        <v>4.0349019384256293</v>
      </c>
      <c r="O94" s="62">
        <v>3.182820687971085</v>
      </c>
      <c r="P94" s="62">
        <v>0</v>
      </c>
      <c r="Q94" s="58">
        <v>73.314756951211024</v>
      </c>
      <c r="R94" s="62">
        <v>49.369211658788892</v>
      </c>
      <c r="S94" s="62">
        <v>22.790595206839253</v>
      </c>
      <c r="T94" s="62">
        <v>1.1549500855829453</v>
      </c>
    </row>
    <row r="95" spans="1:20" s="19" customFormat="1" ht="15" customHeight="1" x14ac:dyDescent="0.25">
      <c r="A95" s="37"/>
      <c r="B95" s="38" t="s">
        <v>192</v>
      </c>
      <c r="C95" s="36"/>
      <c r="D95" s="60">
        <v>38186.516485639717</v>
      </c>
      <c r="E95" s="61">
        <v>100</v>
      </c>
      <c r="F95" s="58">
        <v>17.521755222902563</v>
      </c>
      <c r="G95" s="62">
        <v>5.8674207216034837</v>
      </c>
      <c r="H95" s="62">
        <v>0.18774021796035412</v>
      </c>
      <c r="I95" s="62">
        <v>1.4908949173373569</v>
      </c>
      <c r="J95" s="62">
        <v>8.9635306157152215</v>
      </c>
      <c r="K95" s="62">
        <v>0.98860816891423942</v>
      </c>
      <c r="L95" s="62">
        <v>2.3560581371964758E-2</v>
      </c>
      <c r="M95" s="58">
        <v>5.9444628140143134</v>
      </c>
      <c r="N95" s="62">
        <v>3.4658228417303327</v>
      </c>
      <c r="O95" s="62">
        <v>2.4786399722839452</v>
      </c>
      <c r="P95" s="62">
        <v>0</v>
      </c>
      <c r="Q95" s="58">
        <v>76.533781963082717</v>
      </c>
      <c r="R95" s="62">
        <v>48.702065123351886</v>
      </c>
      <c r="S95" s="62">
        <v>26.398503951935012</v>
      </c>
      <c r="T95" s="62">
        <v>1.4332128877969916</v>
      </c>
    </row>
    <row r="96" spans="1:20" s="19" customFormat="1" ht="15" customHeight="1" x14ac:dyDescent="0.25">
      <c r="A96" s="37"/>
      <c r="B96" s="38" t="s">
        <v>195</v>
      </c>
      <c r="C96" s="36"/>
      <c r="D96" s="60">
        <v>36369.520320341333</v>
      </c>
      <c r="E96" s="61">
        <v>100</v>
      </c>
      <c r="F96" s="58">
        <v>16.262497516334143</v>
      </c>
      <c r="G96" s="62">
        <v>5.7210228035424411</v>
      </c>
      <c r="H96" s="62">
        <v>0.10369645313827348</v>
      </c>
      <c r="I96" s="62">
        <v>1.4150926253289031</v>
      </c>
      <c r="J96" s="62">
        <v>7.647262024013088</v>
      </c>
      <c r="K96" s="62">
        <v>1.3409524716599575</v>
      </c>
      <c r="L96" s="62">
        <v>3.4471138651546746E-2</v>
      </c>
      <c r="M96" s="58">
        <v>6.7331554403666605</v>
      </c>
      <c r="N96" s="62">
        <v>4.3341407223714734</v>
      </c>
      <c r="O96" s="62">
        <v>2.1489925721900711</v>
      </c>
      <c r="P96" s="62">
        <f>M96-N96-O96</f>
        <v>0.25002214580511595</v>
      </c>
      <c r="Q96" s="58">
        <v>77.004347043300115</v>
      </c>
      <c r="R96" s="62">
        <v>49.640321940431647</v>
      </c>
      <c r="S96" s="62">
        <v>25.704794855423952</v>
      </c>
      <c r="T96" s="62">
        <v>1.6592302474460088</v>
      </c>
    </row>
    <row r="97" spans="1:20" s="19" customFormat="1" ht="15" customHeight="1" x14ac:dyDescent="0.25">
      <c r="A97" s="37"/>
      <c r="B97" s="38" t="s">
        <v>206</v>
      </c>
      <c r="C97" s="36"/>
      <c r="D97" s="60">
        <f t="shared" ref="D97:T97" si="0">D$9</f>
        <v>35213.826749168205</v>
      </c>
      <c r="E97" s="61">
        <f t="shared" si="0"/>
        <v>100</v>
      </c>
      <c r="F97" s="58">
        <f t="shared" si="0"/>
        <v>16.122391073508101</v>
      </c>
      <c r="G97" s="62">
        <f>G$9</f>
        <v>6.0595320644366666</v>
      </c>
      <c r="H97" s="62">
        <f t="shared" si="0"/>
        <v>0.30060720511988004</v>
      </c>
      <c r="I97" s="62">
        <f t="shared" si="0"/>
        <v>1.3617936797628178</v>
      </c>
      <c r="J97" s="62">
        <f t="shared" si="0"/>
        <v>7.0310710939878254</v>
      </c>
      <c r="K97" s="62">
        <f t="shared" si="0"/>
        <v>1.2983726803077644</v>
      </c>
      <c r="L97" s="62">
        <f t="shared" si="0"/>
        <v>7.1014349892992254E-2</v>
      </c>
      <c r="M97" s="58">
        <f t="shared" si="0"/>
        <v>8.1961607924401871</v>
      </c>
      <c r="N97" s="62">
        <f t="shared" si="0"/>
        <v>6.0140260641194248</v>
      </c>
      <c r="O97" s="62">
        <f t="shared" si="0"/>
        <v>2.0011246736959634</v>
      </c>
      <c r="P97" s="62">
        <f>P9</f>
        <v>0.18101005462477734</v>
      </c>
      <c r="Q97" s="58">
        <f t="shared" si="0"/>
        <v>75.681448134050385</v>
      </c>
      <c r="R97" s="62">
        <f t="shared" si="0"/>
        <v>46.695847505832987</v>
      </c>
      <c r="S97" s="62">
        <f t="shared" si="0"/>
        <v>27.225915812208992</v>
      </c>
      <c r="T97" s="62">
        <f t="shared" si="0"/>
        <v>1.7596848160079903</v>
      </c>
    </row>
    <row r="98" spans="1:20" s="151" customFormat="1" ht="3.75" customHeight="1" x14ac:dyDescent="0.25">
      <c r="A98" s="39"/>
      <c r="B98" s="40"/>
      <c r="C98" s="82"/>
      <c r="D98" s="147"/>
      <c r="E98" s="148"/>
      <c r="F98" s="149"/>
      <c r="G98" s="150"/>
      <c r="H98" s="150"/>
      <c r="I98" s="150"/>
      <c r="J98" s="150"/>
      <c r="K98" s="150"/>
      <c r="L98" s="150"/>
      <c r="M98" s="149"/>
      <c r="N98" s="150"/>
      <c r="O98" s="150"/>
      <c r="P98" s="150"/>
      <c r="Q98" s="149"/>
      <c r="R98" s="150"/>
      <c r="S98" s="150"/>
      <c r="T98" s="150"/>
    </row>
  </sheetData>
  <mergeCells count="19">
    <mergeCell ref="S7:S8"/>
    <mergeCell ref="Q6:Q8"/>
    <mergeCell ref="O7:O8"/>
    <mergeCell ref="M1:T1"/>
    <mergeCell ref="K7:K8"/>
    <mergeCell ref="T7:T8"/>
    <mergeCell ref="R7:R8"/>
    <mergeCell ref="A5:C8"/>
    <mergeCell ref="E5:E8"/>
    <mergeCell ref="F6:F8"/>
    <mergeCell ref="G7:G8"/>
    <mergeCell ref="H7:H8"/>
    <mergeCell ref="I7:I8"/>
    <mergeCell ref="J7:J8"/>
    <mergeCell ref="D5:D8"/>
    <mergeCell ref="N7:N8"/>
    <mergeCell ref="P7:P8"/>
    <mergeCell ref="L7:L8"/>
    <mergeCell ref="M6:M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86" orientation="portrait" r:id="rId1"/>
  <headerFooter alignWithMargins="0"/>
  <rowBreaks count="1" manualBreakCount="1">
    <brk id="56" max="16383" man="1"/>
  </rowBreaks>
  <colBreaks count="1" manualBreakCount="1">
    <brk id="12" max="10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DBF3-6C41-4FAE-809D-FC59A25DA251}">
  <sheetPr codeName="工作表31"/>
  <dimension ref="A1:Y73"/>
  <sheetViews>
    <sheetView showGridLines="0" view="pageBreakPreview" zoomScale="90" zoomScaleNormal="70" zoomScaleSheetLayoutView="90" workbookViewId="0">
      <selection activeCell="V9" sqref="V9"/>
    </sheetView>
  </sheetViews>
  <sheetFormatPr defaultColWidth="9" defaultRowHeight="11.1" customHeight="1" x14ac:dyDescent="0.25"/>
  <cols>
    <col min="1" max="1" width="1.875" style="18" customWidth="1"/>
    <col min="2" max="2" width="13.5" style="44" customWidth="1"/>
    <col min="3" max="3" width="3.25" style="48" customWidth="1"/>
    <col min="4" max="25" width="6.625" style="47" customWidth="1"/>
    <col min="26" max="16384" width="9" style="46"/>
  </cols>
  <sheetData>
    <row r="1" spans="1:25" s="14" customFormat="1" ht="22.5" customHeight="1" x14ac:dyDescent="0.25">
      <c r="A1" s="255" t="s">
        <v>271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96" t="s">
        <v>270</v>
      </c>
      <c r="P1" s="22"/>
    </row>
    <row r="2" spans="1:25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10"/>
      <c r="P2" s="10" t="s">
        <v>282</v>
      </c>
    </row>
    <row r="3" spans="1:25" s="19" customFormat="1" ht="13.5" customHeight="1" x14ac:dyDescent="0.25">
      <c r="A3" s="257" t="s">
        <v>102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44" t="s">
        <v>95</v>
      </c>
    </row>
    <row r="4" spans="1:25" s="28" customFormat="1" ht="13.5" x14ac:dyDescent="0.25">
      <c r="A4" s="135" t="s">
        <v>20</v>
      </c>
      <c r="B4" s="135"/>
      <c r="C4" s="135"/>
      <c r="D4" s="26"/>
      <c r="E4" s="26"/>
      <c r="F4" s="26"/>
      <c r="G4" s="27"/>
      <c r="H4" s="27"/>
      <c r="I4" s="27"/>
      <c r="J4" s="27"/>
      <c r="K4" s="27"/>
      <c r="L4" s="27"/>
      <c r="M4" s="27"/>
      <c r="N4" s="27" t="s">
        <v>157</v>
      </c>
      <c r="O4" s="27"/>
      <c r="Q4" s="27"/>
      <c r="R4" s="27"/>
      <c r="S4" s="27"/>
      <c r="T4" s="27"/>
      <c r="U4" s="27"/>
      <c r="V4" s="27"/>
      <c r="W4" s="27"/>
      <c r="X4" s="27"/>
      <c r="Y4" s="27" t="s">
        <v>157</v>
      </c>
    </row>
    <row r="5" spans="1:25" s="19" customFormat="1" ht="45.75" customHeight="1" x14ac:dyDescent="0.25">
      <c r="A5" s="262" t="s">
        <v>21</v>
      </c>
      <c r="B5" s="262"/>
      <c r="C5" s="263"/>
      <c r="D5" s="136" t="s">
        <v>24</v>
      </c>
      <c r="E5" s="136" t="s">
        <v>25</v>
      </c>
      <c r="F5" s="136" t="s">
        <v>26</v>
      </c>
      <c r="G5" s="137" t="s">
        <v>27</v>
      </c>
      <c r="H5" s="137" t="s">
        <v>28</v>
      </c>
      <c r="I5" s="137" t="s">
        <v>29</v>
      </c>
      <c r="J5" s="137" t="s">
        <v>30</v>
      </c>
      <c r="K5" s="137" t="s">
        <v>31</v>
      </c>
      <c r="L5" s="137" t="s">
        <v>32</v>
      </c>
      <c r="M5" s="137" t="s">
        <v>33</v>
      </c>
      <c r="N5" s="137" t="s">
        <v>34</v>
      </c>
      <c r="O5" s="137" t="s">
        <v>35</v>
      </c>
      <c r="P5" s="137" t="s">
        <v>36</v>
      </c>
      <c r="Q5" s="137" t="s">
        <v>37</v>
      </c>
      <c r="R5" s="137" t="s">
        <v>38</v>
      </c>
      <c r="S5" s="137" t="s">
        <v>39</v>
      </c>
      <c r="T5" s="137" t="s">
        <v>40</v>
      </c>
      <c r="U5" s="137" t="s">
        <v>41</v>
      </c>
      <c r="V5" s="137" t="s">
        <v>42</v>
      </c>
      <c r="W5" s="137" t="s">
        <v>43</v>
      </c>
      <c r="X5" s="137" t="s">
        <v>44</v>
      </c>
      <c r="Y5" s="137" t="s">
        <v>45</v>
      </c>
    </row>
    <row r="6" spans="1:25" s="19" customFormat="1" ht="4.5" customHeight="1" x14ac:dyDescent="0.25">
      <c r="A6" s="30"/>
      <c r="B6" s="31"/>
      <c r="C6" s="32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 s="19" customFormat="1" ht="4.5" hidden="1" customHeight="1" x14ac:dyDescent="0.25">
      <c r="A7" s="37"/>
      <c r="B7" s="138"/>
      <c r="C7" s="29"/>
      <c r="D7" s="139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s="19" customFormat="1" ht="4.5" hidden="1" customHeight="1" x14ac:dyDescent="0.25">
      <c r="A8" s="37"/>
      <c r="B8" s="138"/>
      <c r="C8" s="29"/>
      <c r="D8" s="139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spans="1:25" s="18" customFormat="1" ht="15" customHeight="1" x14ac:dyDescent="0.25">
      <c r="A9" s="33" t="s">
        <v>22</v>
      </c>
      <c r="B9" s="54"/>
      <c r="C9" s="141"/>
      <c r="D9" s="57">
        <v>30.246852238474911</v>
      </c>
      <c r="E9" s="58">
        <v>38.873937396606529</v>
      </c>
      <c r="F9" s="58">
        <v>15.137300293666303</v>
      </c>
      <c r="G9" s="58">
        <v>6.4730448389170672</v>
      </c>
      <c r="H9" s="58">
        <v>3.360984084327804</v>
      </c>
      <c r="I9" s="58">
        <v>10.617575267593359</v>
      </c>
      <c r="J9" s="58">
        <v>7.9488054860820299</v>
      </c>
      <c r="K9" s="58">
        <v>6.9461381984647304</v>
      </c>
      <c r="L9" s="58">
        <v>7.9476698890301769</v>
      </c>
      <c r="M9" s="58">
        <v>4.2227561199429502</v>
      </c>
      <c r="N9" s="58">
        <v>3.5357017745106027</v>
      </c>
      <c r="O9" s="58">
        <v>6.1565885335398063</v>
      </c>
      <c r="P9" s="58">
        <v>1.6627847582525779</v>
      </c>
      <c r="Q9" s="58">
        <v>5.0277961292143063</v>
      </c>
      <c r="R9" s="58">
        <v>6.5217768448549958</v>
      </c>
      <c r="S9" s="58">
        <v>2.9075822705176018</v>
      </c>
      <c r="T9" s="58">
        <v>4.99807062859455</v>
      </c>
      <c r="U9" s="58">
        <v>30.908366961207157</v>
      </c>
      <c r="V9" s="58">
        <v>4.8741139479416606</v>
      </c>
      <c r="W9" s="58">
        <v>5.0749659999866861</v>
      </c>
      <c r="X9" s="58">
        <v>3.9813857553286667</v>
      </c>
      <c r="Y9" s="58">
        <v>7.4753592521979124</v>
      </c>
    </row>
    <row r="10" spans="1:25" s="19" customFormat="1" ht="15" customHeight="1" x14ac:dyDescent="0.25">
      <c r="A10" s="33" t="s">
        <v>46</v>
      </c>
      <c r="B10" s="34"/>
      <c r="C10" s="35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s="19" customFormat="1" ht="15" customHeight="1" x14ac:dyDescent="0.25">
      <c r="A11" s="37"/>
      <c r="B11" s="38" t="s">
        <v>47</v>
      </c>
      <c r="C11" s="35"/>
      <c r="D11" s="61">
        <v>20.012660628736143</v>
      </c>
      <c r="E11" s="62">
        <v>27.363713738810009</v>
      </c>
      <c r="F11" s="62">
        <v>7.4316552832960934</v>
      </c>
      <c r="G11" s="62">
        <v>4.5371162869793968</v>
      </c>
      <c r="H11" s="62">
        <v>2.5892091386811966</v>
      </c>
      <c r="I11" s="62">
        <v>12.138497114483229</v>
      </c>
      <c r="J11" s="62">
        <v>6.6981516431203101</v>
      </c>
      <c r="K11" s="62">
        <v>7.8938783204898861</v>
      </c>
      <c r="L11" s="62">
        <v>9.5264562425872654</v>
      </c>
      <c r="M11" s="62">
        <v>4.1808377112274329</v>
      </c>
      <c r="N11" s="62">
        <v>3.719172847204923</v>
      </c>
      <c r="O11" s="62">
        <v>6.025498082819789</v>
      </c>
      <c r="P11" s="62">
        <v>1.3757882832389945</v>
      </c>
      <c r="Q11" s="62">
        <v>4.5455896187314053</v>
      </c>
      <c r="R11" s="62">
        <v>6.8961082952991193</v>
      </c>
      <c r="S11" s="62">
        <v>3.3408181182490244</v>
      </c>
      <c r="T11" s="62">
        <v>4.1351820260549745</v>
      </c>
      <c r="U11" s="62">
        <v>22.963074280573753</v>
      </c>
      <c r="V11" s="62">
        <v>3.68351412558401</v>
      </c>
      <c r="W11" s="62">
        <v>4.0190907639095306</v>
      </c>
      <c r="X11" s="62">
        <v>3.2711558752882395</v>
      </c>
      <c r="Y11" s="62">
        <v>4.9074979220746959</v>
      </c>
    </row>
    <row r="12" spans="1:25" s="19" customFormat="1" ht="15" customHeight="1" x14ac:dyDescent="0.25">
      <c r="A12" s="37"/>
      <c r="B12" s="38" t="s">
        <v>48</v>
      </c>
      <c r="C12" s="35"/>
      <c r="D12" s="61">
        <v>40.330436789195467</v>
      </c>
      <c r="E12" s="62">
        <v>49.796029593152632</v>
      </c>
      <c r="F12" s="62">
        <v>23.700425911556277</v>
      </c>
      <c r="G12" s="62">
        <v>8.5170317131742745</v>
      </c>
      <c r="H12" s="62">
        <v>4.2599830091245305</v>
      </c>
      <c r="I12" s="62">
        <v>8.635056330222012</v>
      </c>
      <c r="J12" s="62">
        <v>9.1305469728301123</v>
      </c>
      <c r="K12" s="62">
        <v>5.7630248343082009</v>
      </c>
      <c r="L12" s="62">
        <v>6.0704758485539294</v>
      </c>
      <c r="M12" s="62">
        <v>4.2695578602829194</v>
      </c>
      <c r="N12" s="62">
        <v>3.3117820031565102</v>
      </c>
      <c r="O12" s="62">
        <v>6.3052757183840447</v>
      </c>
      <c r="P12" s="62">
        <v>2.051460875302952</v>
      </c>
      <c r="Q12" s="62">
        <v>5.6331453739744433</v>
      </c>
      <c r="R12" s="62">
        <v>6.1070336840011663</v>
      </c>
      <c r="S12" s="62">
        <v>2.3738176671540967</v>
      </c>
      <c r="T12" s="62">
        <v>5.8879584061659216</v>
      </c>
      <c r="U12" s="62">
        <v>37.836407595827517</v>
      </c>
      <c r="V12" s="62">
        <v>6.2886116547617394</v>
      </c>
      <c r="W12" s="62">
        <v>6.0769745180260362</v>
      </c>
      <c r="X12" s="62">
        <v>4.6663814587274128</v>
      </c>
      <c r="Y12" s="62">
        <v>10.740120046654379</v>
      </c>
    </row>
    <row r="13" spans="1:25" s="19" customFormat="1" ht="15" customHeight="1" x14ac:dyDescent="0.25">
      <c r="A13" s="37" t="s">
        <v>49</v>
      </c>
      <c r="B13" s="38"/>
      <c r="C13" s="35"/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s="19" customFormat="1" ht="15" customHeight="1" x14ac:dyDescent="0.25">
      <c r="A14" s="37"/>
      <c r="B14" s="38" t="s">
        <v>107</v>
      </c>
      <c r="C14" s="35"/>
      <c r="D14" s="61">
        <v>59.034198372567467</v>
      </c>
      <c r="E14" s="62">
        <v>59.390904146978642</v>
      </c>
      <c r="F14" s="62">
        <v>48.385053758269812</v>
      </c>
      <c r="G14" s="62">
        <v>42.520873846354228</v>
      </c>
      <c r="H14" s="62">
        <v>30.956811866125388</v>
      </c>
      <c r="I14" s="62">
        <v>39.714459628435407</v>
      </c>
      <c r="J14" s="62">
        <v>39.314446464262581</v>
      </c>
      <c r="K14" s="62">
        <v>37.766871762859886</v>
      </c>
      <c r="L14" s="62">
        <v>39.065078362221186</v>
      </c>
      <c r="M14" s="62">
        <v>33.496378887683136</v>
      </c>
      <c r="N14" s="62">
        <v>48.421576833085844</v>
      </c>
      <c r="O14" s="62">
        <v>46.38787409685451</v>
      </c>
      <c r="P14" s="62">
        <v>18.259598939385057</v>
      </c>
      <c r="Q14" s="62">
        <v>24.75915658740842</v>
      </c>
      <c r="R14" s="62">
        <v>26.286088451240047</v>
      </c>
      <c r="S14" s="62">
        <v>25.467085338881439</v>
      </c>
      <c r="T14" s="62">
        <v>48.471094944506945</v>
      </c>
      <c r="U14" s="62">
        <v>56.386725465699001</v>
      </c>
      <c r="V14" s="62">
        <v>31.004623664169195</v>
      </c>
      <c r="W14" s="62">
        <v>17.291980553198066</v>
      </c>
      <c r="X14" s="62">
        <v>44.529203910777333</v>
      </c>
      <c r="Y14" s="62">
        <v>52.337438723258536</v>
      </c>
    </row>
    <row r="15" spans="1:25" s="19" customFormat="1" ht="15" customHeight="1" x14ac:dyDescent="0.25">
      <c r="A15" s="37"/>
      <c r="B15" s="38" t="s">
        <v>108</v>
      </c>
      <c r="C15" s="35"/>
      <c r="D15" s="61">
        <v>47.407874619830913</v>
      </c>
      <c r="E15" s="62">
        <v>59.584550683665583</v>
      </c>
      <c r="F15" s="62">
        <v>18.276991606749242</v>
      </c>
      <c r="G15" s="62">
        <v>12.646566697933443</v>
      </c>
      <c r="H15" s="62">
        <v>14.557991456469276</v>
      </c>
      <c r="I15" s="62">
        <v>7.8289522870392068</v>
      </c>
      <c r="J15" s="62">
        <v>13.713455173508649</v>
      </c>
      <c r="K15" s="62">
        <v>12.140832116971541</v>
      </c>
      <c r="L15" s="62">
        <v>51.702014687791809</v>
      </c>
      <c r="M15" s="62">
        <v>21.625479355039644</v>
      </c>
      <c r="N15" s="62">
        <v>18.397934341957907</v>
      </c>
      <c r="O15" s="62">
        <v>29.750335138529493</v>
      </c>
      <c r="P15" s="62">
        <v>15.660179532861065</v>
      </c>
      <c r="Q15" s="62">
        <v>80.670280753464155</v>
      </c>
      <c r="R15" s="62">
        <v>35.809588995226022</v>
      </c>
      <c r="S15" s="62">
        <v>0</v>
      </c>
      <c r="T15" s="62">
        <v>12.156019943149033</v>
      </c>
      <c r="U15" s="62">
        <v>58.104181705560194</v>
      </c>
      <c r="V15" s="62">
        <v>18.140803057291254</v>
      </c>
      <c r="W15" s="62">
        <v>12.929340210082358</v>
      </c>
      <c r="X15" s="62">
        <v>26.716345067727506</v>
      </c>
      <c r="Y15" s="62">
        <v>35.675759461029095</v>
      </c>
    </row>
    <row r="16" spans="1:25" s="19" customFormat="1" ht="15" customHeight="1" x14ac:dyDescent="0.25">
      <c r="A16" s="37"/>
      <c r="B16" s="38" t="s">
        <v>109</v>
      </c>
      <c r="C16" s="35"/>
      <c r="D16" s="61">
        <v>37.498859688910244</v>
      </c>
      <c r="E16" s="62">
        <v>43.005403123797144</v>
      </c>
      <c r="F16" s="62">
        <v>18.054663062007094</v>
      </c>
      <c r="G16" s="62">
        <v>6.3836876828154807</v>
      </c>
      <c r="H16" s="62">
        <v>0.55154663544939342</v>
      </c>
      <c r="I16" s="62">
        <v>5.4967016960366024</v>
      </c>
      <c r="J16" s="62">
        <v>11.523544567585104</v>
      </c>
      <c r="K16" s="62">
        <v>6.4593295412762579</v>
      </c>
      <c r="L16" s="62">
        <v>4.7283249989179383</v>
      </c>
      <c r="M16" s="62">
        <v>5.2760152058594274</v>
      </c>
      <c r="N16" s="62">
        <v>1.5696247525667204</v>
      </c>
      <c r="O16" s="62">
        <v>2.8409522199208292</v>
      </c>
      <c r="P16" s="62">
        <v>0.79901249000329655</v>
      </c>
      <c r="Q16" s="62">
        <v>2.2226777973635357</v>
      </c>
      <c r="R16" s="62">
        <v>0.67271175539745731</v>
      </c>
      <c r="S16" s="62">
        <v>6.5044602384293659</v>
      </c>
      <c r="T16" s="62">
        <v>6.4324963739737777</v>
      </c>
      <c r="U16" s="62">
        <v>48.71579302144788</v>
      </c>
      <c r="V16" s="62">
        <v>4.156937090172768</v>
      </c>
      <c r="W16" s="62">
        <v>15.418150095559433</v>
      </c>
      <c r="X16" s="62">
        <v>1.4352518882461092</v>
      </c>
      <c r="Y16" s="62">
        <v>2.0383153360880932</v>
      </c>
    </row>
    <row r="17" spans="1:25" s="19" customFormat="1" ht="15" customHeight="1" x14ac:dyDescent="0.25">
      <c r="A17" s="33"/>
      <c r="B17" s="38" t="s">
        <v>110</v>
      </c>
      <c r="C17" s="35"/>
      <c r="D17" s="61">
        <v>27.000041704576855</v>
      </c>
      <c r="E17" s="62">
        <v>47.17838097977581</v>
      </c>
      <c r="F17" s="62">
        <v>13.926090143541112</v>
      </c>
      <c r="G17" s="62">
        <v>1.0145177878451224</v>
      </c>
      <c r="H17" s="62">
        <v>1.253025711510831</v>
      </c>
      <c r="I17" s="62">
        <v>10.230688779308203</v>
      </c>
      <c r="J17" s="62">
        <v>4.141541353019492</v>
      </c>
      <c r="K17" s="62">
        <v>0.53072151039654591</v>
      </c>
      <c r="L17" s="62">
        <v>1.3746879044235114</v>
      </c>
      <c r="M17" s="62">
        <v>0.68105912196564622</v>
      </c>
      <c r="N17" s="62">
        <v>2.1153810610030983</v>
      </c>
      <c r="O17" s="62">
        <v>0.59122129079013952</v>
      </c>
      <c r="P17" s="62">
        <v>0.18373157563749817</v>
      </c>
      <c r="Q17" s="62">
        <v>0</v>
      </c>
      <c r="R17" s="62">
        <v>16.018621738869591</v>
      </c>
      <c r="S17" s="62">
        <v>0.56954061182717342</v>
      </c>
      <c r="T17" s="62">
        <v>0</v>
      </c>
      <c r="U17" s="62">
        <v>37.295098487107722</v>
      </c>
      <c r="V17" s="62">
        <v>1.3962799781235133</v>
      </c>
      <c r="W17" s="62">
        <v>0.25453586722780558</v>
      </c>
      <c r="X17" s="62">
        <v>0</v>
      </c>
      <c r="Y17" s="62">
        <v>2.3562426185714025</v>
      </c>
    </row>
    <row r="18" spans="1:25" s="19" customFormat="1" ht="15" customHeight="1" x14ac:dyDescent="0.25">
      <c r="A18" s="37"/>
      <c r="B18" s="38" t="s">
        <v>111</v>
      </c>
      <c r="C18" s="35"/>
      <c r="D18" s="61">
        <v>25.699324777536216</v>
      </c>
      <c r="E18" s="62">
        <v>32.006868326083548</v>
      </c>
      <c r="F18" s="62">
        <v>6.7986768064196657</v>
      </c>
      <c r="G18" s="62">
        <v>5.196114048985355</v>
      </c>
      <c r="H18" s="62">
        <v>1.0617700206868799</v>
      </c>
      <c r="I18" s="62">
        <v>9.4227097652826473</v>
      </c>
      <c r="J18" s="62">
        <v>3.2555218063159379</v>
      </c>
      <c r="K18" s="62">
        <v>4.759243687820323</v>
      </c>
      <c r="L18" s="62">
        <v>5.6528739940338877</v>
      </c>
      <c r="M18" s="62">
        <v>0.22850316147637365</v>
      </c>
      <c r="N18" s="62">
        <v>0.85978251212536383</v>
      </c>
      <c r="O18" s="62">
        <v>5.5113528534462679</v>
      </c>
      <c r="P18" s="62">
        <v>0</v>
      </c>
      <c r="Q18" s="62">
        <v>4.9983822296216713</v>
      </c>
      <c r="R18" s="62">
        <v>5.7105950711219959</v>
      </c>
      <c r="S18" s="62">
        <v>0.31294042586164206</v>
      </c>
      <c r="T18" s="62">
        <v>0.76071451472838358</v>
      </c>
      <c r="U18" s="62">
        <v>11.300143254538</v>
      </c>
      <c r="V18" s="62">
        <v>2.6061771765236119</v>
      </c>
      <c r="W18" s="62">
        <v>1.3472471133348951</v>
      </c>
      <c r="X18" s="62">
        <v>0</v>
      </c>
      <c r="Y18" s="62">
        <v>3.7560143317562793</v>
      </c>
    </row>
    <row r="19" spans="1:25" s="19" customFormat="1" ht="15" customHeight="1" x14ac:dyDescent="0.25">
      <c r="A19" s="37"/>
      <c r="B19" s="38" t="s">
        <v>112</v>
      </c>
      <c r="C19" s="35"/>
      <c r="D19" s="61">
        <v>22.255883935273431</v>
      </c>
      <c r="E19" s="62">
        <v>28.591203626038791</v>
      </c>
      <c r="F19" s="62">
        <v>17.615320195115313</v>
      </c>
      <c r="G19" s="62">
        <v>5.7025916700826684</v>
      </c>
      <c r="H19" s="62">
        <v>0.96188531339918137</v>
      </c>
      <c r="I19" s="62">
        <v>11.491060312764521</v>
      </c>
      <c r="J19" s="62">
        <v>5.1940083257060499</v>
      </c>
      <c r="K19" s="62">
        <v>7.7437249843913953</v>
      </c>
      <c r="L19" s="62">
        <v>4.1838259747114135</v>
      </c>
      <c r="M19" s="62">
        <v>2.2299854866408175</v>
      </c>
      <c r="N19" s="62">
        <v>1.2150095614774408</v>
      </c>
      <c r="O19" s="62">
        <v>0.51178028376063989</v>
      </c>
      <c r="P19" s="62">
        <v>0.63244539371697794</v>
      </c>
      <c r="Q19" s="62">
        <v>2.4010580672797643</v>
      </c>
      <c r="R19" s="62">
        <v>1.735526814050163</v>
      </c>
      <c r="S19" s="62">
        <v>3.325880877200651</v>
      </c>
      <c r="T19" s="62">
        <v>2.9682319842291824</v>
      </c>
      <c r="U19" s="62">
        <v>20.819261389908256</v>
      </c>
      <c r="V19" s="62">
        <v>1.6281204059912708</v>
      </c>
      <c r="W19" s="62">
        <v>0.94049836762300798</v>
      </c>
      <c r="X19" s="62">
        <v>4.0838740284379469</v>
      </c>
      <c r="Y19" s="62">
        <v>3.249155408478257</v>
      </c>
    </row>
    <row r="20" spans="1:25" s="19" customFormat="1" ht="15" customHeight="1" x14ac:dyDescent="0.25">
      <c r="A20" s="37"/>
      <c r="B20" s="38" t="s">
        <v>113</v>
      </c>
      <c r="C20" s="35"/>
      <c r="D20" s="61">
        <v>24.055786973650303</v>
      </c>
      <c r="E20" s="62">
        <v>29.533919252963646</v>
      </c>
      <c r="F20" s="62">
        <v>14.455953943914853</v>
      </c>
      <c r="G20" s="62">
        <v>0</v>
      </c>
      <c r="H20" s="62">
        <v>1.8963298309844827</v>
      </c>
      <c r="I20" s="62">
        <v>6.2845078206248095</v>
      </c>
      <c r="J20" s="62">
        <v>0.86038266843822819</v>
      </c>
      <c r="K20" s="62">
        <v>0</v>
      </c>
      <c r="L20" s="62">
        <v>2.6259734021575056</v>
      </c>
      <c r="M20" s="62">
        <v>1.5279428615141453</v>
      </c>
      <c r="N20" s="62">
        <v>0</v>
      </c>
      <c r="O20" s="62">
        <v>3.074887801985462</v>
      </c>
      <c r="P20" s="62">
        <v>6.7108274484677102</v>
      </c>
      <c r="Q20" s="62">
        <v>0</v>
      </c>
      <c r="R20" s="62">
        <v>0</v>
      </c>
      <c r="S20" s="62">
        <v>1.3993032688682936</v>
      </c>
      <c r="T20" s="62">
        <v>0</v>
      </c>
      <c r="U20" s="62">
        <v>20.291478794526981</v>
      </c>
      <c r="V20" s="62">
        <v>1.8038643516893711</v>
      </c>
      <c r="W20" s="62">
        <v>5.0476408178429741</v>
      </c>
      <c r="X20" s="62">
        <v>7.8258361192917922</v>
      </c>
      <c r="Y20" s="62">
        <v>2.0996237537691789</v>
      </c>
    </row>
    <row r="21" spans="1:25" s="19" customFormat="1" ht="15" customHeight="1" x14ac:dyDescent="0.25">
      <c r="A21" s="37"/>
      <c r="B21" s="38" t="s">
        <v>114</v>
      </c>
      <c r="C21" s="35"/>
      <c r="D21" s="61">
        <v>42.518869956239485</v>
      </c>
      <c r="E21" s="62">
        <v>48.374237862442413</v>
      </c>
      <c r="F21" s="62">
        <v>4.6788118051901986</v>
      </c>
      <c r="G21" s="62">
        <v>6.0720661522465269</v>
      </c>
      <c r="H21" s="62">
        <v>5.8220017591691855</v>
      </c>
      <c r="I21" s="62">
        <v>4.7791162375942147</v>
      </c>
      <c r="J21" s="62">
        <v>0</v>
      </c>
      <c r="K21" s="62">
        <v>1.4065510991031283</v>
      </c>
      <c r="L21" s="62">
        <v>4.3503964133376494</v>
      </c>
      <c r="M21" s="62">
        <v>0</v>
      </c>
      <c r="N21" s="62">
        <v>0</v>
      </c>
      <c r="O21" s="62">
        <v>0</v>
      </c>
      <c r="P21" s="62">
        <v>1.1586346465436048</v>
      </c>
      <c r="Q21" s="62">
        <v>1.2603557883496781</v>
      </c>
      <c r="R21" s="62">
        <v>0.44810710496806411</v>
      </c>
      <c r="S21" s="62">
        <v>0</v>
      </c>
      <c r="T21" s="62">
        <v>0</v>
      </c>
      <c r="U21" s="62">
        <v>20.395689691450656</v>
      </c>
      <c r="V21" s="62">
        <v>6.8742730069884956</v>
      </c>
      <c r="W21" s="62">
        <v>0</v>
      </c>
      <c r="X21" s="62">
        <v>0</v>
      </c>
      <c r="Y21" s="62">
        <v>0</v>
      </c>
    </row>
    <row r="22" spans="1:25" s="19" customFormat="1" ht="15" customHeight="1" x14ac:dyDescent="0.25">
      <c r="A22" s="37" t="s">
        <v>50</v>
      </c>
      <c r="B22" s="38"/>
      <c r="C22" s="35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s="19" customFormat="1" ht="15" customHeight="1" x14ac:dyDescent="0.25">
      <c r="A23" s="37"/>
      <c r="B23" s="38" t="s">
        <v>3</v>
      </c>
      <c r="C23" s="35"/>
      <c r="D23" s="61">
        <v>9.0242541974478687</v>
      </c>
      <c r="E23" s="62">
        <v>37.652596355624603</v>
      </c>
      <c r="F23" s="62">
        <v>0</v>
      </c>
      <c r="G23" s="62">
        <v>0</v>
      </c>
      <c r="H23" s="62">
        <v>12.726569454068207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2.9632754938091126</v>
      </c>
      <c r="V23" s="62">
        <v>14.629074033726406</v>
      </c>
      <c r="W23" s="62">
        <v>0</v>
      </c>
      <c r="X23" s="62">
        <v>12.742663914723165</v>
      </c>
      <c r="Y23" s="62">
        <v>0</v>
      </c>
    </row>
    <row r="24" spans="1:25" s="19" customFormat="1" ht="15" customHeight="1" x14ac:dyDescent="0.25">
      <c r="A24" s="37"/>
      <c r="B24" s="38" t="s">
        <v>115</v>
      </c>
      <c r="C24" s="35"/>
      <c r="D24" s="61">
        <v>11.535493189658022</v>
      </c>
      <c r="E24" s="62">
        <v>5.6700949005419057</v>
      </c>
      <c r="F24" s="62">
        <v>8.8349046591960043</v>
      </c>
      <c r="G24" s="62">
        <v>2.4263340234040762</v>
      </c>
      <c r="H24" s="62">
        <v>2.089297404249836</v>
      </c>
      <c r="I24" s="62">
        <v>4.2499168675470509</v>
      </c>
      <c r="J24" s="62">
        <v>1.6991371028206463</v>
      </c>
      <c r="K24" s="62">
        <v>9.3202095264427545</v>
      </c>
      <c r="L24" s="62">
        <v>9.1642816653021608</v>
      </c>
      <c r="M24" s="62">
        <v>0</v>
      </c>
      <c r="N24" s="62">
        <v>0</v>
      </c>
      <c r="O24" s="62">
        <v>2.0414003792945836</v>
      </c>
      <c r="P24" s="62">
        <v>1.4162773240035005</v>
      </c>
      <c r="Q24" s="62">
        <v>0.98995052261594352</v>
      </c>
      <c r="R24" s="62">
        <v>11.479055111472011</v>
      </c>
      <c r="S24" s="62">
        <v>4.644088616992188</v>
      </c>
      <c r="T24" s="62">
        <v>1.2197579024263048</v>
      </c>
      <c r="U24" s="62">
        <v>10.016041103945165</v>
      </c>
      <c r="V24" s="62">
        <v>7.5249156822433978</v>
      </c>
      <c r="W24" s="62">
        <v>5.8715665458347814</v>
      </c>
      <c r="X24" s="62">
        <v>16.659695218744005</v>
      </c>
      <c r="Y24" s="62">
        <v>0</v>
      </c>
    </row>
    <row r="25" spans="1:25" s="19" customFormat="1" ht="15" customHeight="1" x14ac:dyDescent="0.25">
      <c r="A25" s="37"/>
      <c r="B25" s="38" t="s">
        <v>116</v>
      </c>
      <c r="C25" s="35"/>
      <c r="D25" s="61">
        <v>23.891564899777361</v>
      </c>
      <c r="E25" s="62">
        <v>33.951921628789684</v>
      </c>
      <c r="F25" s="62">
        <v>12.820682715459236</v>
      </c>
      <c r="G25" s="62">
        <v>11.540072479505783</v>
      </c>
      <c r="H25" s="62">
        <v>7.3560938384783396</v>
      </c>
      <c r="I25" s="62">
        <v>13.438027366043631</v>
      </c>
      <c r="J25" s="62">
        <v>11.540670080402725</v>
      </c>
      <c r="K25" s="62">
        <v>17.098984638784962</v>
      </c>
      <c r="L25" s="62">
        <v>14.684444480119145</v>
      </c>
      <c r="M25" s="62">
        <v>7.2114584387223557</v>
      </c>
      <c r="N25" s="62">
        <v>8.1642661422196277</v>
      </c>
      <c r="O25" s="62">
        <v>10.368519040384145</v>
      </c>
      <c r="P25" s="62">
        <v>2.2046954628257733</v>
      </c>
      <c r="Q25" s="62">
        <v>9.2549219377497334</v>
      </c>
      <c r="R25" s="62">
        <v>5.6770070415118381</v>
      </c>
      <c r="S25" s="62">
        <v>3.5731846577803763</v>
      </c>
      <c r="T25" s="62">
        <v>8.126185142183175</v>
      </c>
      <c r="U25" s="62">
        <v>37.43784255681642</v>
      </c>
      <c r="V25" s="62">
        <v>11.374122583962556</v>
      </c>
      <c r="W25" s="62">
        <v>6.0945351727897101</v>
      </c>
      <c r="X25" s="62">
        <v>9.7184013005579963</v>
      </c>
      <c r="Y25" s="62">
        <v>14.869662763002903</v>
      </c>
    </row>
    <row r="26" spans="1:25" s="19" customFormat="1" ht="15" customHeight="1" x14ac:dyDescent="0.25">
      <c r="A26" s="37"/>
      <c r="B26" s="38" t="s">
        <v>51</v>
      </c>
      <c r="C26" s="35"/>
      <c r="D26" s="61">
        <v>28.50213162762293</v>
      </c>
      <c r="E26" s="62">
        <v>24.617288729383116</v>
      </c>
      <c r="F26" s="62">
        <v>21.225828587512058</v>
      </c>
      <c r="G26" s="62">
        <v>7.8601873651979641</v>
      </c>
      <c r="H26" s="62">
        <v>2.8126480452105791</v>
      </c>
      <c r="I26" s="62">
        <v>6.3411640100955688</v>
      </c>
      <c r="J26" s="62">
        <v>2.0161238603695675</v>
      </c>
      <c r="K26" s="62">
        <v>0</v>
      </c>
      <c r="L26" s="62">
        <v>0.98199966568093766</v>
      </c>
      <c r="M26" s="62">
        <v>3.1336823886234635</v>
      </c>
      <c r="N26" s="62">
        <v>1.1820755147867614</v>
      </c>
      <c r="O26" s="62">
        <v>0.8258338219540089</v>
      </c>
      <c r="P26" s="62">
        <v>0.50362556628785959</v>
      </c>
      <c r="Q26" s="62">
        <v>0.63603713770660653</v>
      </c>
      <c r="R26" s="62">
        <v>0</v>
      </c>
      <c r="S26" s="62">
        <v>0.26866045218955309</v>
      </c>
      <c r="T26" s="62">
        <v>3.5926657747038147</v>
      </c>
      <c r="U26" s="62">
        <v>31.901370084413205</v>
      </c>
      <c r="V26" s="62">
        <v>4.5874185844058477</v>
      </c>
      <c r="W26" s="62">
        <v>1.3842993239659758</v>
      </c>
      <c r="X26" s="62">
        <v>3.0847720940204728</v>
      </c>
      <c r="Y26" s="62">
        <v>5.6934927612320587</v>
      </c>
    </row>
    <row r="27" spans="1:25" s="19" customFormat="1" ht="15" customHeight="1" x14ac:dyDescent="0.25">
      <c r="A27" s="37"/>
      <c r="B27" s="38" t="s">
        <v>52</v>
      </c>
      <c r="C27" s="35"/>
      <c r="D27" s="61">
        <v>31.752946810021449</v>
      </c>
      <c r="E27" s="62">
        <v>41.28737978923057</v>
      </c>
      <c r="F27" s="62">
        <v>14.476809155971013</v>
      </c>
      <c r="G27" s="62">
        <v>5.8780699108021217</v>
      </c>
      <c r="H27" s="62">
        <v>0.74797126751059906</v>
      </c>
      <c r="I27" s="62">
        <v>11.526267106671005</v>
      </c>
      <c r="J27" s="62">
        <v>9.0685732354282607</v>
      </c>
      <c r="K27" s="62">
        <v>2.6051688807334097</v>
      </c>
      <c r="L27" s="62">
        <v>4.1204274482775789</v>
      </c>
      <c r="M27" s="62">
        <v>2.7566816279354183</v>
      </c>
      <c r="N27" s="62">
        <v>2.7471727137659117</v>
      </c>
      <c r="O27" s="62">
        <v>6.7184943978861078</v>
      </c>
      <c r="P27" s="62">
        <v>1.9162712560225128</v>
      </c>
      <c r="Q27" s="62">
        <v>2.9653108154509096</v>
      </c>
      <c r="R27" s="62">
        <v>8.1082988667975169</v>
      </c>
      <c r="S27" s="62">
        <v>4.0484145359247075</v>
      </c>
      <c r="T27" s="62">
        <v>4.154978079491098</v>
      </c>
      <c r="U27" s="62">
        <v>26.861250657808196</v>
      </c>
      <c r="V27" s="62">
        <v>2.8574094934427356</v>
      </c>
      <c r="W27" s="62">
        <v>5.9649096247309927</v>
      </c>
      <c r="X27" s="62">
        <v>0.16682601042488721</v>
      </c>
      <c r="Y27" s="62">
        <v>3.0608092929369266</v>
      </c>
    </row>
    <row r="28" spans="1:25" s="19" customFormat="1" ht="15" customHeight="1" x14ac:dyDescent="0.25">
      <c r="A28" s="37"/>
      <c r="B28" s="38" t="s">
        <v>4</v>
      </c>
      <c r="C28" s="35"/>
      <c r="D28" s="61">
        <v>44.041178380707194</v>
      </c>
      <c r="E28" s="62">
        <v>44.970405099747232</v>
      </c>
      <c r="F28" s="62">
        <v>19.576648341235149</v>
      </c>
      <c r="G28" s="62">
        <v>1.6127964428704367</v>
      </c>
      <c r="H28" s="62">
        <v>2.6794516778851731</v>
      </c>
      <c r="I28" s="62">
        <v>8.9257621067078183</v>
      </c>
      <c r="J28" s="62">
        <v>8.6614797162335595</v>
      </c>
      <c r="K28" s="62">
        <v>4.6104888387977505</v>
      </c>
      <c r="L28" s="62">
        <v>9.0430062638485147</v>
      </c>
      <c r="M28" s="62">
        <v>1.7895573786959607</v>
      </c>
      <c r="N28" s="62">
        <v>0.77024080162859521</v>
      </c>
      <c r="O28" s="62">
        <v>1.053397655757474</v>
      </c>
      <c r="P28" s="62">
        <v>0</v>
      </c>
      <c r="Q28" s="62">
        <v>3.728396501865936</v>
      </c>
      <c r="R28" s="62">
        <v>8.6365310194642646</v>
      </c>
      <c r="S28" s="62">
        <v>0.71187685751223773</v>
      </c>
      <c r="T28" s="62">
        <v>3.121790903718431</v>
      </c>
      <c r="U28" s="62">
        <v>40.220232488029353</v>
      </c>
      <c r="V28" s="62">
        <v>3.1478406522736226</v>
      </c>
      <c r="W28" s="62">
        <v>1.3246375999500843</v>
      </c>
      <c r="X28" s="62">
        <v>1.5485599841221962</v>
      </c>
      <c r="Y28" s="62">
        <v>0</v>
      </c>
    </row>
    <row r="29" spans="1:25" s="19" customFormat="1" ht="15" customHeight="1" x14ac:dyDescent="0.25">
      <c r="A29" s="37"/>
      <c r="B29" s="38" t="s">
        <v>117</v>
      </c>
      <c r="C29" s="35"/>
      <c r="D29" s="61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</row>
    <row r="30" spans="1:25" s="19" customFormat="1" ht="15" customHeight="1" x14ac:dyDescent="0.25">
      <c r="A30" s="37" t="s">
        <v>53</v>
      </c>
      <c r="B30" s="38"/>
      <c r="C30" s="35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s="19" customFormat="1" ht="15" customHeight="1" x14ac:dyDescent="0.25">
      <c r="A31" s="37"/>
      <c r="B31" s="38" t="s">
        <v>54</v>
      </c>
      <c r="C31" s="35"/>
      <c r="D31" s="61">
        <v>15.786112356700279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0.43371096264666598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</row>
    <row r="32" spans="1:25" s="19" customFormat="1" ht="15" customHeight="1" x14ac:dyDescent="0.25">
      <c r="A32" s="37"/>
      <c r="B32" s="38" t="s">
        <v>55</v>
      </c>
      <c r="C32" s="35"/>
      <c r="D32" s="61">
        <v>14.772779147420303</v>
      </c>
      <c r="E32" s="62">
        <v>25.317819216450786</v>
      </c>
      <c r="F32" s="62">
        <v>6.2563589179931487</v>
      </c>
      <c r="G32" s="62">
        <v>1.5334051186067017</v>
      </c>
      <c r="H32" s="62">
        <v>0.9279863828068633</v>
      </c>
      <c r="I32" s="62">
        <v>7.5353926534688398</v>
      </c>
      <c r="J32" s="62">
        <v>3.6554965577381515</v>
      </c>
      <c r="K32" s="62">
        <v>1.6083680001862599</v>
      </c>
      <c r="L32" s="62">
        <v>3.8794275774197127</v>
      </c>
      <c r="M32" s="62">
        <v>0.5593522763621479</v>
      </c>
      <c r="N32" s="62">
        <v>0</v>
      </c>
      <c r="O32" s="62">
        <v>2.142202879651026</v>
      </c>
      <c r="P32" s="62">
        <v>0.36744115473050881</v>
      </c>
      <c r="Q32" s="62">
        <v>1.9952938890242493</v>
      </c>
      <c r="R32" s="62">
        <v>17.973708257033326</v>
      </c>
      <c r="S32" s="62">
        <v>6.6163503280480311</v>
      </c>
      <c r="T32" s="62">
        <v>3.3974253599076478</v>
      </c>
      <c r="U32" s="62">
        <v>18.844213222411806</v>
      </c>
      <c r="V32" s="62">
        <v>1.0628187331507815</v>
      </c>
      <c r="W32" s="62">
        <v>3.1738289219674471</v>
      </c>
      <c r="X32" s="62">
        <v>2.7731277573651063</v>
      </c>
      <c r="Y32" s="62">
        <v>0.44688390364874797</v>
      </c>
    </row>
    <row r="33" spans="1:25" s="19" customFormat="1" ht="15" customHeight="1" x14ac:dyDescent="0.25">
      <c r="A33" s="37"/>
      <c r="B33" s="38" t="s">
        <v>211</v>
      </c>
      <c r="C33" s="35"/>
      <c r="D33" s="61">
        <v>24.654906926297397</v>
      </c>
      <c r="E33" s="62">
        <v>31.238310399266485</v>
      </c>
      <c r="F33" s="62">
        <v>15.494388490824829</v>
      </c>
      <c r="G33" s="62">
        <v>0.2145819399965489</v>
      </c>
      <c r="H33" s="62">
        <v>0</v>
      </c>
      <c r="I33" s="62">
        <v>1.8407958626655279</v>
      </c>
      <c r="J33" s="62">
        <v>1.071264816166495</v>
      </c>
      <c r="K33" s="62">
        <v>7.5647868176520365</v>
      </c>
      <c r="L33" s="62">
        <v>4.421796664902474</v>
      </c>
      <c r="M33" s="62">
        <v>0</v>
      </c>
      <c r="N33" s="62">
        <v>0</v>
      </c>
      <c r="O33" s="62">
        <v>2.4795612450754332</v>
      </c>
      <c r="P33" s="62">
        <v>2.7161250681743963</v>
      </c>
      <c r="Q33" s="62">
        <v>8.9787685501314947</v>
      </c>
      <c r="R33" s="62">
        <v>9.6055530357934344</v>
      </c>
      <c r="S33" s="62">
        <v>14.313653485474592</v>
      </c>
      <c r="T33" s="62">
        <v>4.5903854570232054</v>
      </c>
      <c r="U33" s="62">
        <v>52.870374675408009</v>
      </c>
      <c r="V33" s="62">
        <v>2.2752871418646934</v>
      </c>
      <c r="W33" s="62">
        <v>0</v>
      </c>
      <c r="X33" s="62">
        <v>3.758538567899425</v>
      </c>
      <c r="Y33" s="62">
        <v>0</v>
      </c>
    </row>
    <row r="34" spans="1:25" s="19" customFormat="1" ht="15" customHeight="1" x14ac:dyDescent="0.25">
      <c r="A34" s="37"/>
      <c r="B34" s="38" t="s">
        <v>212</v>
      </c>
      <c r="C34" s="35"/>
      <c r="D34" s="61">
        <v>14.512864580496766</v>
      </c>
      <c r="E34" s="62">
        <v>34.805516489589365</v>
      </c>
      <c r="F34" s="62">
        <v>0</v>
      </c>
      <c r="G34" s="62">
        <v>3.5036553985823824</v>
      </c>
      <c r="H34" s="62">
        <v>8.9394834766359761</v>
      </c>
      <c r="I34" s="62">
        <v>1.6962503000978346</v>
      </c>
      <c r="J34" s="62">
        <v>1.7221854617170091</v>
      </c>
      <c r="K34" s="62">
        <v>1.6894162764858782</v>
      </c>
      <c r="L34" s="62">
        <v>1.6085491236496254</v>
      </c>
      <c r="M34" s="62">
        <v>4.3399755319377897</v>
      </c>
      <c r="N34" s="62">
        <v>6.604489559511272</v>
      </c>
      <c r="O34" s="62">
        <v>0</v>
      </c>
      <c r="P34" s="62">
        <v>16.268291620813592</v>
      </c>
      <c r="Q34" s="62">
        <v>0</v>
      </c>
      <c r="R34" s="62">
        <v>1.3609901994499123</v>
      </c>
      <c r="S34" s="62">
        <v>0</v>
      </c>
      <c r="T34" s="62">
        <v>12.90762676491903</v>
      </c>
      <c r="U34" s="62">
        <v>24.924062819266048</v>
      </c>
      <c r="V34" s="62">
        <v>0</v>
      </c>
      <c r="W34" s="62">
        <v>12.691867309992251</v>
      </c>
      <c r="X34" s="62">
        <v>0.890082856817898</v>
      </c>
      <c r="Y34" s="62">
        <v>0</v>
      </c>
    </row>
    <row r="35" spans="1:25" s="19" customFormat="1" ht="15" customHeight="1" x14ac:dyDescent="0.25">
      <c r="A35" s="37"/>
      <c r="B35" s="38" t="s">
        <v>56</v>
      </c>
      <c r="C35" s="35"/>
      <c r="D35" s="61">
        <v>37.909099455591445</v>
      </c>
      <c r="E35" s="62">
        <v>40.72437622553236</v>
      </c>
      <c r="F35" s="62">
        <v>14.852862497490987</v>
      </c>
      <c r="G35" s="62">
        <v>7.2383612588251722</v>
      </c>
      <c r="H35" s="62">
        <v>1.8150050523188823</v>
      </c>
      <c r="I35" s="62">
        <v>11.902227090601015</v>
      </c>
      <c r="J35" s="62">
        <v>5.2867024858172424</v>
      </c>
      <c r="K35" s="62">
        <v>5.9514223328482432</v>
      </c>
      <c r="L35" s="62">
        <v>3.342263679844101</v>
      </c>
      <c r="M35" s="62">
        <v>2.9811918611986088</v>
      </c>
      <c r="N35" s="62">
        <v>2.0251792266958701</v>
      </c>
      <c r="O35" s="62">
        <v>6.204533508510842</v>
      </c>
      <c r="P35" s="62">
        <v>1.2193474791347252</v>
      </c>
      <c r="Q35" s="62">
        <v>1.6101603666216098</v>
      </c>
      <c r="R35" s="62">
        <v>0.60939745004509149</v>
      </c>
      <c r="S35" s="62">
        <v>0.62743297452773872</v>
      </c>
      <c r="T35" s="62">
        <v>2.5151731314449961</v>
      </c>
      <c r="U35" s="62">
        <v>25.478528563953791</v>
      </c>
      <c r="V35" s="62">
        <v>2.7720390815634044</v>
      </c>
      <c r="W35" s="62">
        <v>0.30689178395033401</v>
      </c>
      <c r="X35" s="62">
        <v>2.2976835055237128</v>
      </c>
      <c r="Y35" s="62">
        <v>2.0311161107026208</v>
      </c>
    </row>
    <row r="36" spans="1:25" s="19" customFormat="1" ht="15" customHeight="1" x14ac:dyDescent="0.25">
      <c r="A36" s="37"/>
      <c r="B36" s="38" t="s">
        <v>57</v>
      </c>
      <c r="C36" s="35"/>
      <c r="D36" s="61">
        <v>26.439042782714701</v>
      </c>
      <c r="E36" s="62">
        <v>43.104840179770562</v>
      </c>
      <c r="F36" s="62">
        <v>26.841013249571908</v>
      </c>
      <c r="G36" s="62">
        <v>0.86072054532448805</v>
      </c>
      <c r="H36" s="62">
        <v>3.3876639113128424</v>
      </c>
      <c r="I36" s="62">
        <v>9.7634179252208959</v>
      </c>
      <c r="J36" s="62">
        <v>12.109956017836163</v>
      </c>
      <c r="K36" s="62">
        <v>11.75512370698875</v>
      </c>
      <c r="L36" s="62">
        <v>4.0258542861498681</v>
      </c>
      <c r="M36" s="62">
        <v>0.98625325185985602</v>
      </c>
      <c r="N36" s="62">
        <v>0.74132799168151331</v>
      </c>
      <c r="O36" s="62">
        <v>1.2339833991215985</v>
      </c>
      <c r="P36" s="62">
        <v>0</v>
      </c>
      <c r="Q36" s="62">
        <v>2.7657552359140576</v>
      </c>
      <c r="R36" s="62">
        <v>12.98923813383224</v>
      </c>
      <c r="S36" s="62">
        <v>0.55292428258551662</v>
      </c>
      <c r="T36" s="62">
        <v>1.5928643465937924</v>
      </c>
      <c r="U36" s="62">
        <v>23.437985631831772</v>
      </c>
      <c r="V36" s="62">
        <v>8.2688238409557755</v>
      </c>
      <c r="W36" s="62">
        <v>1.2899497975128913</v>
      </c>
      <c r="X36" s="62">
        <v>1.6575619541640447</v>
      </c>
      <c r="Y36" s="62">
        <v>3.9238841985933099</v>
      </c>
    </row>
    <row r="37" spans="1:25" s="19" customFormat="1" ht="15" customHeight="1" x14ac:dyDescent="0.25">
      <c r="A37" s="37"/>
      <c r="B37" s="38" t="s">
        <v>204</v>
      </c>
      <c r="C37" s="35"/>
      <c r="D37" s="61">
        <v>31.018359045493519</v>
      </c>
      <c r="E37" s="62">
        <v>86.051878583426117</v>
      </c>
      <c r="F37" s="62">
        <v>0</v>
      </c>
      <c r="G37" s="62">
        <v>13.829180136484453</v>
      </c>
      <c r="H37" s="62">
        <v>16.049252006981607</v>
      </c>
      <c r="I37" s="62">
        <v>0</v>
      </c>
      <c r="J37" s="62">
        <v>9.7763946217423445</v>
      </c>
      <c r="K37" s="62">
        <v>0</v>
      </c>
      <c r="L37" s="62">
        <v>100</v>
      </c>
      <c r="M37" s="62">
        <v>25.73145045540705</v>
      </c>
      <c r="N37" s="62">
        <v>0</v>
      </c>
      <c r="O37" s="62">
        <v>0</v>
      </c>
      <c r="P37" s="62">
        <v>14.786951075235811</v>
      </c>
      <c r="Q37" s="62">
        <v>0</v>
      </c>
      <c r="R37" s="62">
        <v>0</v>
      </c>
      <c r="S37" s="62">
        <v>0</v>
      </c>
      <c r="T37" s="62">
        <v>7.4595524346260023</v>
      </c>
      <c r="U37" s="62">
        <v>0</v>
      </c>
      <c r="V37" s="62">
        <v>50</v>
      </c>
      <c r="W37" s="62">
        <v>86.578955914296344</v>
      </c>
      <c r="X37" s="62">
        <v>0</v>
      </c>
      <c r="Y37" s="62">
        <v>0</v>
      </c>
    </row>
    <row r="38" spans="1:25" s="19" customFormat="1" ht="15" customHeight="1" x14ac:dyDescent="0.25">
      <c r="A38" s="37"/>
      <c r="B38" s="38" t="s">
        <v>58</v>
      </c>
      <c r="C38" s="35"/>
      <c r="D38" s="61">
        <v>0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</row>
    <row r="39" spans="1:25" s="19" customFormat="1" ht="15" customHeight="1" x14ac:dyDescent="0.25">
      <c r="A39" s="37"/>
      <c r="B39" s="38" t="s">
        <v>59</v>
      </c>
      <c r="C39" s="35"/>
      <c r="D39" s="61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</row>
    <row r="40" spans="1:25" s="19" customFormat="1" ht="15" customHeight="1" x14ac:dyDescent="0.25">
      <c r="A40" s="37"/>
      <c r="B40" s="38" t="s">
        <v>61</v>
      </c>
      <c r="C40" s="35"/>
      <c r="D40" s="61">
        <v>53.525327219058681</v>
      </c>
      <c r="E40" s="62">
        <v>57.903981315245801</v>
      </c>
      <c r="F40" s="62">
        <v>48.014310650959068</v>
      </c>
      <c r="G40" s="62">
        <v>33.362932664964369</v>
      </c>
      <c r="H40" s="62">
        <v>20.136126940017967</v>
      </c>
      <c r="I40" s="62">
        <v>26.868115784086847</v>
      </c>
      <c r="J40" s="62">
        <v>36.418434449913136</v>
      </c>
      <c r="K40" s="62">
        <v>37.622917906000652</v>
      </c>
      <c r="L40" s="62">
        <v>42.998112942590737</v>
      </c>
      <c r="M40" s="62">
        <v>35.21745849214745</v>
      </c>
      <c r="N40" s="62">
        <v>42.248118661823604</v>
      </c>
      <c r="O40" s="62">
        <v>29.064120883593326</v>
      </c>
      <c r="P40" s="62">
        <v>12.931125546240485</v>
      </c>
      <c r="Q40" s="62">
        <v>32.556101330452137</v>
      </c>
      <c r="R40" s="62">
        <v>17.420977560879184</v>
      </c>
      <c r="S40" s="62">
        <v>6.2952797751030181</v>
      </c>
      <c r="T40" s="62">
        <v>36.684881972367428</v>
      </c>
      <c r="U40" s="62">
        <v>61.544572100869054</v>
      </c>
      <c r="V40" s="62">
        <v>23.343790475479594</v>
      </c>
      <c r="W40" s="62">
        <v>19.03123163299643</v>
      </c>
      <c r="X40" s="62">
        <v>22.973654604881567</v>
      </c>
      <c r="Y40" s="62">
        <v>56.394847089799853</v>
      </c>
    </row>
    <row r="41" spans="1:25" s="19" customFormat="1" ht="15" customHeight="1" x14ac:dyDescent="0.25">
      <c r="A41" s="37"/>
      <c r="B41" s="38" t="s">
        <v>60</v>
      </c>
      <c r="C41" s="35"/>
      <c r="D41" s="61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</row>
    <row r="42" spans="1:25" s="19" customFormat="1" ht="15" customHeight="1" x14ac:dyDescent="0.25">
      <c r="A42" s="37"/>
      <c r="B42" s="38" t="s">
        <v>117</v>
      </c>
      <c r="C42" s="35"/>
      <c r="D42" s="61">
        <v>0</v>
      </c>
      <c r="E42" s="62">
        <v>0</v>
      </c>
      <c r="F42" s="62">
        <v>0</v>
      </c>
      <c r="G42" s="62">
        <v>54.368839167750231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80.588682251911891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24.919718959727799</v>
      </c>
      <c r="W42" s="62">
        <v>0</v>
      </c>
      <c r="X42" s="62">
        <v>0</v>
      </c>
      <c r="Y42" s="62">
        <v>0</v>
      </c>
    </row>
    <row r="43" spans="1:25" s="19" customFormat="1" ht="4.3499999999999996" customHeight="1" x14ac:dyDescent="0.25">
      <c r="A43" s="39"/>
      <c r="B43" s="40"/>
      <c r="C43" s="41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s="19" customFormat="1" ht="15.95" customHeight="1" x14ac:dyDescent="0.25">
      <c r="A44" s="37" t="s">
        <v>5</v>
      </c>
      <c r="B44" s="38"/>
      <c r="C44" s="35"/>
      <c r="D44" s="61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s="19" customFormat="1" ht="15.95" customHeight="1" x14ac:dyDescent="0.25">
      <c r="A45" s="37"/>
      <c r="B45" s="38" t="s">
        <v>6</v>
      </c>
      <c r="C45" s="35"/>
      <c r="D45" s="61">
        <v>27.849402199183825</v>
      </c>
      <c r="E45" s="62">
        <v>36.42061405143189</v>
      </c>
      <c r="F45" s="62">
        <v>11.785341998406215</v>
      </c>
      <c r="G45" s="62">
        <v>3.7089825754508552</v>
      </c>
      <c r="H45" s="62">
        <v>1.3996694442834305</v>
      </c>
      <c r="I45" s="62">
        <v>9.1906172292646922</v>
      </c>
      <c r="J45" s="62">
        <v>5.0569784441188839</v>
      </c>
      <c r="K45" s="62">
        <v>4.1130611242411783</v>
      </c>
      <c r="L45" s="62">
        <v>3.4795286179250393</v>
      </c>
      <c r="M45" s="62">
        <v>1.4673253479473312</v>
      </c>
      <c r="N45" s="62">
        <v>1.0561521531459457</v>
      </c>
      <c r="O45" s="62">
        <v>2.8742165910655491</v>
      </c>
      <c r="P45" s="62">
        <v>0.94841744066756672</v>
      </c>
      <c r="Q45" s="62">
        <v>1.7520179086304575</v>
      </c>
      <c r="R45" s="62">
        <v>5.2733528410559298</v>
      </c>
      <c r="S45" s="62">
        <v>2.5857305974099107</v>
      </c>
      <c r="T45" s="62">
        <v>3.6242254209628473</v>
      </c>
      <c r="U45" s="62">
        <v>26.556868486915683</v>
      </c>
      <c r="V45" s="62">
        <v>2.1466248968612631</v>
      </c>
      <c r="W45" s="62">
        <v>1.977794190419899</v>
      </c>
      <c r="X45" s="62">
        <v>2.118484440605692</v>
      </c>
      <c r="Y45" s="62">
        <v>2.6650295798428032</v>
      </c>
    </row>
    <row r="46" spans="1:25" s="19" customFormat="1" ht="15.95" customHeight="1" x14ac:dyDescent="0.25">
      <c r="A46" s="37"/>
      <c r="B46" s="38" t="s">
        <v>7</v>
      </c>
      <c r="C46" s="35"/>
      <c r="D46" s="61">
        <v>52.856932930244724</v>
      </c>
      <c r="E46" s="62">
        <v>58.688037235875392</v>
      </c>
      <c r="F46" s="62">
        <v>45.527296543409719</v>
      </c>
      <c r="G46" s="62">
        <v>31.209906676779287</v>
      </c>
      <c r="H46" s="62">
        <v>19.674362877344912</v>
      </c>
      <c r="I46" s="62">
        <v>23.642355909310247</v>
      </c>
      <c r="J46" s="62">
        <v>32.646261517070037</v>
      </c>
      <c r="K46" s="62">
        <v>29.112855431062826</v>
      </c>
      <c r="L46" s="62">
        <v>38.463530328486833</v>
      </c>
      <c r="M46" s="62">
        <v>31.044465158749567</v>
      </c>
      <c r="N46" s="62">
        <v>37.128198088412894</v>
      </c>
      <c r="O46" s="62">
        <v>27.900812186121968</v>
      </c>
      <c r="P46" s="62">
        <v>16.945343880036805</v>
      </c>
      <c r="Q46" s="62">
        <v>31.720785492910608</v>
      </c>
      <c r="R46" s="62">
        <v>18.284435727789862</v>
      </c>
      <c r="S46" s="62">
        <v>5.3332946222317332</v>
      </c>
      <c r="T46" s="62">
        <v>24.096568121767827</v>
      </c>
      <c r="U46" s="62">
        <v>59.774321543647169</v>
      </c>
      <c r="V46" s="62">
        <v>21.325352548227141</v>
      </c>
      <c r="W46" s="62">
        <v>29.965556805972145</v>
      </c>
      <c r="X46" s="62">
        <v>21.335023646883421</v>
      </c>
      <c r="Y46" s="62">
        <v>56.394847089799853</v>
      </c>
    </row>
    <row r="47" spans="1:25" s="19" customFormat="1" ht="15.95" customHeight="1" x14ac:dyDescent="0.25">
      <c r="A47" s="37" t="s">
        <v>72</v>
      </c>
      <c r="B47" s="38"/>
      <c r="C47" s="35"/>
      <c r="D47" s="61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s="19" customFormat="1" ht="15.95" customHeight="1" x14ac:dyDescent="0.25">
      <c r="A48" s="37"/>
      <c r="B48" s="38" t="s">
        <v>123</v>
      </c>
      <c r="C48" s="35"/>
      <c r="D48" s="61">
        <v>33.844404126205077</v>
      </c>
      <c r="E48" s="62">
        <v>31.466286153237274</v>
      </c>
      <c r="F48" s="62">
        <v>23.796121245408283</v>
      </c>
      <c r="G48" s="62">
        <v>15.112882156850434</v>
      </c>
      <c r="H48" s="62">
        <v>10.723583778238563</v>
      </c>
      <c r="I48" s="62">
        <v>13.101401506173749</v>
      </c>
      <c r="J48" s="62">
        <v>15.118790156865247</v>
      </c>
      <c r="K48" s="62">
        <v>15.473563392866515</v>
      </c>
      <c r="L48" s="62">
        <v>19.87417819229891</v>
      </c>
      <c r="M48" s="62">
        <v>10.302444627816827</v>
      </c>
      <c r="N48" s="62">
        <v>9.8668369965113758</v>
      </c>
      <c r="O48" s="62">
        <v>12.391613107666892</v>
      </c>
      <c r="P48" s="62">
        <v>3.4182848232573462</v>
      </c>
      <c r="Q48" s="62">
        <v>7.6390264284863543</v>
      </c>
      <c r="R48" s="62">
        <v>14.622356882311584</v>
      </c>
      <c r="S48" s="62">
        <v>3.6362084325172042</v>
      </c>
      <c r="T48" s="62">
        <v>9.8779113717383851</v>
      </c>
      <c r="U48" s="62">
        <v>46.265602597030188</v>
      </c>
      <c r="V48" s="62">
        <v>16.68393651457253</v>
      </c>
      <c r="W48" s="62">
        <v>14.419838833313802</v>
      </c>
      <c r="X48" s="62">
        <v>12.28768843632723</v>
      </c>
      <c r="Y48" s="62">
        <v>0</v>
      </c>
    </row>
    <row r="49" spans="1:25" s="19" customFormat="1" ht="15.95" customHeight="1" x14ac:dyDescent="0.25">
      <c r="A49" s="37"/>
      <c r="B49" s="38" t="s">
        <v>124</v>
      </c>
      <c r="C49" s="35"/>
      <c r="D49" s="61">
        <v>26.357172085010276</v>
      </c>
      <c r="E49" s="62">
        <v>41.493517778738301</v>
      </c>
      <c r="F49" s="62">
        <v>12.119363570188748</v>
      </c>
      <c r="G49" s="62">
        <v>4.3698333743003088</v>
      </c>
      <c r="H49" s="62">
        <v>2.3095048296444984</v>
      </c>
      <c r="I49" s="62">
        <v>6.9409748997412457</v>
      </c>
      <c r="J49" s="62">
        <v>4.9585055001464422</v>
      </c>
      <c r="K49" s="62">
        <v>6.3987927556352675</v>
      </c>
      <c r="L49" s="62">
        <v>4.7724745586177573</v>
      </c>
      <c r="M49" s="62">
        <v>2.2615417010984133</v>
      </c>
      <c r="N49" s="62">
        <v>1.2108680350937824</v>
      </c>
      <c r="O49" s="62">
        <v>3.3214765331040468</v>
      </c>
      <c r="P49" s="62">
        <v>0.74171298390338491</v>
      </c>
      <c r="Q49" s="62">
        <v>4.3242782835363807</v>
      </c>
      <c r="R49" s="62">
        <v>5.1745572230726165</v>
      </c>
      <c r="S49" s="62">
        <v>4.3020997609018652</v>
      </c>
      <c r="T49" s="62">
        <v>5.1038893215473973</v>
      </c>
      <c r="U49" s="62">
        <v>27.348111987217038</v>
      </c>
      <c r="V49" s="62">
        <v>3.1991996991546356</v>
      </c>
      <c r="W49" s="62">
        <v>1.7090966844906605</v>
      </c>
      <c r="X49" s="62">
        <v>2.3922672891987333</v>
      </c>
      <c r="Y49" s="62">
        <v>8.96862948993126</v>
      </c>
    </row>
    <row r="50" spans="1:25" s="19" customFormat="1" ht="15.95" customHeight="1" x14ac:dyDescent="0.25">
      <c r="A50" s="37"/>
      <c r="B50" s="38" t="s">
        <v>219</v>
      </c>
      <c r="C50" s="35"/>
      <c r="D50" s="61">
        <v>29.027839713489858</v>
      </c>
      <c r="E50" s="62">
        <v>32.281507204522441</v>
      </c>
      <c r="F50" s="62">
        <v>25.200539084737834</v>
      </c>
      <c r="G50" s="62">
        <v>7.2157358704361254</v>
      </c>
      <c r="H50" s="62">
        <v>0</v>
      </c>
      <c r="I50" s="62">
        <v>18.372879591009983</v>
      </c>
      <c r="J50" s="62">
        <v>14.704185886684085</v>
      </c>
      <c r="K50" s="62">
        <v>1.0172215059919625</v>
      </c>
      <c r="L50" s="62">
        <v>8.4133519054814521</v>
      </c>
      <c r="M50" s="62">
        <v>1.8645923235642317</v>
      </c>
      <c r="N50" s="62">
        <v>1.3392000559665072</v>
      </c>
      <c r="O50" s="62">
        <v>0</v>
      </c>
      <c r="P50" s="62">
        <v>0</v>
      </c>
      <c r="Q50" s="62">
        <v>2.368984854164585</v>
      </c>
      <c r="R50" s="62">
        <v>0</v>
      </c>
      <c r="S50" s="62">
        <v>0</v>
      </c>
      <c r="T50" s="62">
        <v>3.0967124497942446</v>
      </c>
      <c r="U50" s="62">
        <v>31.279217123408074</v>
      </c>
      <c r="V50" s="62">
        <v>1.2612348554039732</v>
      </c>
      <c r="W50" s="62">
        <v>0</v>
      </c>
      <c r="X50" s="62">
        <v>1.2109856754684789</v>
      </c>
      <c r="Y50" s="62">
        <v>9.0189482987461069</v>
      </c>
    </row>
    <row r="51" spans="1:25" s="19" customFormat="1" ht="15.95" customHeight="1" x14ac:dyDescent="0.25">
      <c r="A51" s="37"/>
      <c r="B51" s="38" t="s">
        <v>214</v>
      </c>
      <c r="C51" s="35"/>
      <c r="D51" s="61">
        <v>36.284947247173605</v>
      </c>
      <c r="E51" s="62">
        <v>45.524472257694953</v>
      </c>
      <c r="F51" s="62">
        <v>0</v>
      </c>
      <c r="G51" s="62">
        <v>6.7745693491139534</v>
      </c>
      <c r="H51" s="62">
        <v>2.4043646203439133</v>
      </c>
      <c r="I51" s="62">
        <v>1.6682366234474861</v>
      </c>
      <c r="J51" s="62">
        <v>2.7928213940538695</v>
      </c>
      <c r="K51" s="62">
        <v>1.7158418288744828</v>
      </c>
      <c r="L51" s="62">
        <v>1.4064333054939084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2.398708834249542</v>
      </c>
      <c r="U51" s="62">
        <v>11.216876176315923</v>
      </c>
      <c r="V51" s="62">
        <v>0.96778177967403023</v>
      </c>
      <c r="W51" s="62">
        <v>23.791819157899646</v>
      </c>
      <c r="X51" s="62">
        <v>4.77682640720945</v>
      </c>
      <c r="Y51" s="62">
        <v>0</v>
      </c>
    </row>
    <row r="52" spans="1:25" s="19" customFormat="1" ht="15.95" customHeight="1" x14ac:dyDescent="0.25">
      <c r="A52" s="37"/>
      <c r="B52" s="38" t="s">
        <v>216</v>
      </c>
      <c r="C52" s="35"/>
      <c r="D52" s="61">
        <v>41.052622893253499</v>
      </c>
      <c r="E52" s="62">
        <v>18.320693829893298</v>
      </c>
      <c r="F52" s="62">
        <v>23.320680431359577</v>
      </c>
      <c r="G52" s="62">
        <v>8.2858680443789474</v>
      </c>
      <c r="H52" s="62">
        <v>0</v>
      </c>
      <c r="I52" s="62">
        <v>6.0733872007678213</v>
      </c>
      <c r="J52" s="62">
        <v>0</v>
      </c>
      <c r="K52" s="62">
        <v>7.429450638504667</v>
      </c>
      <c r="L52" s="62">
        <v>21.800089812738651</v>
      </c>
      <c r="M52" s="62">
        <v>0</v>
      </c>
      <c r="N52" s="62">
        <v>2.8840604448939717</v>
      </c>
      <c r="O52" s="62">
        <v>7.5410846162785541</v>
      </c>
      <c r="P52" s="62">
        <v>0</v>
      </c>
      <c r="Q52" s="62">
        <v>0</v>
      </c>
      <c r="R52" s="62">
        <v>0.36711774232320127</v>
      </c>
      <c r="S52" s="62">
        <v>0.5336539370430059</v>
      </c>
      <c r="T52" s="62">
        <v>1.7026155045169566</v>
      </c>
      <c r="U52" s="62">
        <v>44.285092082793874</v>
      </c>
      <c r="V52" s="62">
        <v>18.603338735624618</v>
      </c>
      <c r="W52" s="62">
        <v>18.718933660050311</v>
      </c>
      <c r="X52" s="62">
        <v>0</v>
      </c>
      <c r="Y52" s="62">
        <v>0</v>
      </c>
    </row>
    <row r="53" spans="1:25" s="19" customFormat="1" ht="15.95" customHeight="1" x14ac:dyDescent="0.25">
      <c r="A53" s="37"/>
      <c r="B53" s="38" t="s">
        <v>218</v>
      </c>
      <c r="C53" s="35"/>
      <c r="D53" s="61">
        <v>33.259584367841683</v>
      </c>
      <c r="E53" s="62">
        <v>32.176811139210891</v>
      </c>
      <c r="F53" s="62">
        <v>18.380081643506102</v>
      </c>
      <c r="G53" s="62">
        <v>13.542978227834244</v>
      </c>
      <c r="H53" s="62">
        <v>13.589214709371248</v>
      </c>
      <c r="I53" s="62">
        <v>10.580115348675266</v>
      </c>
      <c r="J53" s="62">
        <v>8.114612670132864</v>
      </c>
      <c r="K53" s="62">
        <v>10.701459472751631</v>
      </c>
      <c r="L53" s="62">
        <v>14.843302070034042</v>
      </c>
      <c r="M53" s="62">
        <v>9.3102638056292264</v>
      </c>
      <c r="N53" s="62">
        <v>16.170624830463854</v>
      </c>
      <c r="O53" s="62">
        <v>7.8620756238118554</v>
      </c>
      <c r="P53" s="62">
        <v>3.7039737723658419</v>
      </c>
      <c r="Q53" s="62">
        <v>15.319732070894496</v>
      </c>
      <c r="R53" s="62">
        <v>11.722429863020896</v>
      </c>
      <c r="S53" s="62">
        <v>9.677159151027718</v>
      </c>
      <c r="T53" s="62">
        <v>10.297505225871136</v>
      </c>
      <c r="U53" s="62">
        <v>30.642923736183178</v>
      </c>
      <c r="V53" s="62">
        <v>17.836095734462283</v>
      </c>
      <c r="W53" s="62">
        <v>4.6293907999224064</v>
      </c>
      <c r="X53" s="62">
        <v>16.266905310820285</v>
      </c>
      <c r="Y53" s="62">
        <v>35.060812954494473</v>
      </c>
    </row>
    <row r="54" spans="1:25" s="19" customFormat="1" ht="15.95" customHeight="1" x14ac:dyDescent="0.25">
      <c r="A54" s="37"/>
      <c r="B54" s="38" t="s">
        <v>125</v>
      </c>
      <c r="C54" s="35"/>
      <c r="D54" s="61">
        <v>30.111457021287098</v>
      </c>
      <c r="E54" s="62">
        <v>37.558427858788022</v>
      </c>
      <c r="F54" s="62">
        <v>14.170741981318454</v>
      </c>
      <c r="G54" s="62">
        <v>6.3379983013426289</v>
      </c>
      <c r="H54" s="62">
        <v>2.2488470343140055</v>
      </c>
      <c r="I54" s="62">
        <v>12.556229549776436</v>
      </c>
      <c r="J54" s="62">
        <v>8.0350707247480386</v>
      </c>
      <c r="K54" s="62">
        <v>6.6580252380174789</v>
      </c>
      <c r="L54" s="62">
        <v>6.7961907089571882</v>
      </c>
      <c r="M54" s="62">
        <v>5.0665197707237981</v>
      </c>
      <c r="N54" s="62">
        <v>2.2720419593012444</v>
      </c>
      <c r="O54" s="62">
        <v>7.1266870267339515</v>
      </c>
      <c r="P54" s="62">
        <v>2.0888703182089352</v>
      </c>
      <c r="Q54" s="62">
        <v>3.8965013393434726</v>
      </c>
      <c r="R54" s="62">
        <v>3.0066046180598169</v>
      </c>
      <c r="S54" s="62">
        <v>1.3015851090943868</v>
      </c>
      <c r="T54" s="62">
        <v>4.9644181005916366</v>
      </c>
      <c r="U54" s="62">
        <v>36.74352187505491</v>
      </c>
      <c r="V54" s="62">
        <v>3.8206861053253034</v>
      </c>
      <c r="W54" s="62">
        <v>1.5069341611236093</v>
      </c>
      <c r="X54" s="62">
        <v>2.5418849239147181</v>
      </c>
      <c r="Y54" s="62">
        <v>1.9846575689735935</v>
      </c>
    </row>
    <row r="55" spans="1:25" s="19" customFormat="1" ht="15.95" customHeight="1" x14ac:dyDescent="0.25">
      <c r="A55" s="37"/>
      <c r="B55" s="38" t="s">
        <v>158</v>
      </c>
      <c r="C55" s="35"/>
      <c r="D55" s="61">
        <v>32.804855667418913</v>
      </c>
      <c r="E55" s="62">
        <v>47.560077965785879</v>
      </c>
      <c r="F55" s="62">
        <v>15.938878471135009</v>
      </c>
      <c r="G55" s="62">
        <v>1.634426180499426</v>
      </c>
      <c r="H55" s="62">
        <v>1.5577056252917221</v>
      </c>
      <c r="I55" s="62">
        <v>11.390984829302273</v>
      </c>
      <c r="J55" s="62">
        <v>13.298330835586798</v>
      </c>
      <c r="K55" s="62">
        <v>7.0458433990322922</v>
      </c>
      <c r="L55" s="62">
        <v>5.3842477215851003</v>
      </c>
      <c r="M55" s="62">
        <v>2.0407877816418947</v>
      </c>
      <c r="N55" s="62">
        <v>0</v>
      </c>
      <c r="O55" s="62">
        <v>1.9787956861760292</v>
      </c>
      <c r="P55" s="62">
        <v>1.6401443514104745</v>
      </c>
      <c r="Q55" s="62">
        <v>0</v>
      </c>
      <c r="R55" s="62">
        <v>13.565897170740771</v>
      </c>
      <c r="S55" s="62">
        <v>0.97350391741754838</v>
      </c>
      <c r="T55" s="62">
        <v>0</v>
      </c>
      <c r="U55" s="62">
        <v>19.810511322893657</v>
      </c>
      <c r="V55" s="62">
        <v>0.97860076864827572</v>
      </c>
      <c r="W55" s="62">
        <v>2.9206090981617643</v>
      </c>
      <c r="X55" s="62">
        <v>2.3265447458061348</v>
      </c>
      <c r="Y55" s="62">
        <v>0</v>
      </c>
    </row>
    <row r="56" spans="1:25" s="19" customFormat="1" ht="15.95" customHeight="1" x14ac:dyDescent="0.25">
      <c r="A56" s="37"/>
      <c r="B56" s="38" t="s">
        <v>159</v>
      </c>
      <c r="C56" s="35"/>
      <c r="D56" s="61">
        <v>38.129244990881666</v>
      </c>
      <c r="E56" s="62">
        <v>32.437937148746911</v>
      </c>
      <c r="F56" s="62">
        <v>3.490536557274293</v>
      </c>
      <c r="G56" s="62">
        <v>4.6386059408368965</v>
      </c>
      <c r="H56" s="62">
        <v>0</v>
      </c>
      <c r="I56" s="62">
        <v>3.1570800578250759</v>
      </c>
      <c r="J56" s="62">
        <v>0.59890182191606678</v>
      </c>
      <c r="K56" s="62">
        <v>0</v>
      </c>
      <c r="L56" s="62">
        <v>7.3470620223936374</v>
      </c>
      <c r="M56" s="62">
        <v>0</v>
      </c>
      <c r="N56" s="62">
        <v>0</v>
      </c>
      <c r="O56" s="62">
        <v>14.22601074592488</v>
      </c>
      <c r="P56" s="62">
        <v>0</v>
      </c>
      <c r="Q56" s="62">
        <v>3.8282412642474966</v>
      </c>
      <c r="R56" s="62">
        <v>11.100869038875063</v>
      </c>
      <c r="S56" s="62">
        <v>0</v>
      </c>
      <c r="T56" s="62">
        <v>5.9415400016205044</v>
      </c>
      <c r="U56" s="62">
        <v>8.4909902984253769</v>
      </c>
      <c r="V56" s="62">
        <v>4.1493986363124513</v>
      </c>
      <c r="W56" s="62">
        <v>11.272118145836174</v>
      </c>
      <c r="X56" s="62">
        <v>0</v>
      </c>
      <c r="Y56" s="62">
        <v>0</v>
      </c>
    </row>
    <row r="57" spans="1:25" s="19" customFormat="1" ht="15.95" customHeight="1" x14ac:dyDescent="0.25">
      <c r="A57" s="37"/>
      <c r="B57" s="38" t="s">
        <v>75</v>
      </c>
      <c r="C57" s="35"/>
      <c r="D57" s="61">
        <v>70.246887433278332</v>
      </c>
      <c r="E57" s="62">
        <v>5.8516022615578667</v>
      </c>
      <c r="F57" s="62">
        <v>15.928835148084946</v>
      </c>
      <c r="G57" s="62">
        <v>5.3571860870710672</v>
      </c>
      <c r="H57" s="62">
        <v>0</v>
      </c>
      <c r="I57" s="62">
        <v>0</v>
      </c>
      <c r="J57" s="62">
        <v>0</v>
      </c>
      <c r="K57" s="62">
        <v>6.5847703357518119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3.4202822916006599</v>
      </c>
      <c r="X57" s="62">
        <v>0</v>
      </c>
      <c r="Y57" s="62">
        <v>0</v>
      </c>
    </row>
    <row r="58" spans="1:25" s="52" customFormat="1" ht="15.95" customHeight="1" x14ac:dyDescent="0.25">
      <c r="A58" s="63"/>
      <c r="B58" s="64"/>
      <c r="C58" s="142"/>
      <c r="D58" s="6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 spans="1:25" s="73" customFormat="1" ht="15.95" customHeight="1" x14ac:dyDescent="0.25">
      <c r="A59" s="30"/>
      <c r="B59" s="70"/>
      <c r="C59" s="143"/>
      <c r="D59" s="110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</row>
    <row r="60" spans="1:25" s="19" customFormat="1" ht="15.95" customHeight="1" x14ac:dyDescent="0.25">
      <c r="A60" s="37" t="s">
        <v>62</v>
      </c>
      <c r="B60" s="38"/>
      <c r="C60" s="35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spans="1:25" s="19" customFormat="1" ht="15.95" customHeight="1" x14ac:dyDescent="0.25">
      <c r="A61" s="37"/>
      <c r="B61" s="38" t="s">
        <v>129</v>
      </c>
      <c r="C61" s="35"/>
      <c r="D61" s="61">
        <v>30.29302840702665</v>
      </c>
      <c r="E61" s="62">
        <v>41.749679164298563</v>
      </c>
      <c r="F61" s="62">
        <v>13.115131740674192</v>
      </c>
      <c r="G61" s="62">
        <v>10.826907804498203</v>
      </c>
      <c r="H61" s="62">
        <v>9.0906171410980185</v>
      </c>
      <c r="I61" s="62">
        <v>9.8023219317905248</v>
      </c>
      <c r="J61" s="62">
        <v>9.7405591967732761</v>
      </c>
      <c r="K61" s="62">
        <v>10.533394570242795</v>
      </c>
      <c r="L61" s="62">
        <v>9.6129866513551132</v>
      </c>
      <c r="M61" s="62">
        <v>8.3456495139004723</v>
      </c>
      <c r="N61" s="62">
        <v>8.4477814608350474</v>
      </c>
      <c r="O61" s="62">
        <v>8.0240438635895686</v>
      </c>
      <c r="P61" s="62">
        <v>8.057141436225054</v>
      </c>
      <c r="Q61" s="62">
        <v>8.5620716365859053</v>
      </c>
      <c r="R61" s="62">
        <v>5.3425378085141197</v>
      </c>
      <c r="S61" s="62">
        <v>4.1891851184485116</v>
      </c>
      <c r="T61" s="62">
        <v>6.5146517530819406</v>
      </c>
      <c r="U61" s="62">
        <v>37.321148888657412</v>
      </c>
      <c r="V61" s="62">
        <v>8.100312424145697</v>
      </c>
      <c r="W61" s="62">
        <v>3.8167068070851951</v>
      </c>
      <c r="X61" s="62">
        <v>0</v>
      </c>
      <c r="Y61" s="62">
        <v>0</v>
      </c>
    </row>
    <row r="62" spans="1:25" s="19" customFormat="1" ht="15.95" customHeight="1" x14ac:dyDescent="0.25">
      <c r="A62" s="37"/>
      <c r="B62" s="38" t="s">
        <v>130</v>
      </c>
      <c r="C62" s="35"/>
      <c r="D62" s="61">
        <v>30.87755874540915</v>
      </c>
      <c r="E62" s="62">
        <v>43.930000192709649</v>
      </c>
      <c r="F62" s="62">
        <v>17.083781407940929</v>
      </c>
      <c r="G62" s="62">
        <v>10.694800784345796</v>
      </c>
      <c r="H62" s="62">
        <v>7.4946775058105786</v>
      </c>
      <c r="I62" s="62">
        <v>9.3132763404272563</v>
      </c>
      <c r="J62" s="62">
        <v>9.9094937206879976</v>
      </c>
      <c r="K62" s="62">
        <v>10.612625293352576</v>
      </c>
      <c r="L62" s="62">
        <v>9.224946549449335</v>
      </c>
      <c r="M62" s="62">
        <v>8.0942572201859733</v>
      </c>
      <c r="N62" s="62">
        <v>7.3961808995462075</v>
      </c>
      <c r="O62" s="62">
        <v>7.1779879200418213</v>
      </c>
      <c r="P62" s="62">
        <v>8.9970137767252094</v>
      </c>
      <c r="Q62" s="62">
        <v>8.7846696555596342</v>
      </c>
      <c r="R62" s="62">
        <v>5.4079606220034453</v>
      </c>
      <c r="S62" s="62">
        <v>6.3813257824599265</v>
      </c>
      <c r="T62" s="62">
        <v>6.9474905596156482</v>
      </c>
      <c r="U62" s="62">
        <v>41.665426950617267</v>
      </c>
      <c r="V62" s="62">
        <v>7.7940717287281727</v>
      </c>
      <c r="W62" s="62">
        <v>4.9822030520294573</v>
      </c>
      <c r="X62" s="62">
        <v>11.211202501664653</v>
      </c>
      <c r="Y62" s="62">
        <v>12.551095452208461</v>
      </c>
    </row>
    <row r="63" spans="1:25" s="19" customFormat="1" ht="15.95" customHeight="1" x14ac:dyDescent="0.25">
      <c r="A63" s="37"/>
      <c r="B63" s="38" t="s">
        <v>131</v>
      </c>
      <c r="C63" s="35"/>
      <c r="D63" s="61">
        <v>34.113131074884244</v>
      </c>
      <c r="E63" s="62">
        <v>43.029961860603521</v>
      </c>
      <c r="F63" s="62">
        <v>15.720847845751528</v>
      </c>
      <c r="G63" s="62">
        <v>10.787051410082857</v>
      </c>
      <c r="H63" s="62">
        <v>6.9623244623428526</v>
      </c>
      <c r="I63" s="62">
        <v>9.0079169986835517</v>
      </c>
      <c r="J63" s="62">
        <v>8.5644504430505979</v>
      </c>
      <c r="K63" s="62">
        <v>12.21139610361473</v>
      </c>
      <c r="L63" s="62">
        <v>11.114332421952236</v>
      </c>
      <c r="M63" s="62">
        <v>6.7536520294852673</v>
      </c>
      <c r="N63" s="62">
        <v>9.6655170687955696</v>
      </c>
      <c r="O63" s="62">
        <v>7.3721649556690769</v>
      </c>
      <c r="P63" s="62">
        <v>9.1395408052207259</v>
      </c>
      <c r="Q63" s="62">
        <v>8.9945946178745526</v>
      </c>
      <c r="R63" s="62">
        <v>3.5327773510615721</v>
      </c>
      <c r="S63" s="62">
        <v>6.1071942381081579</v>
      </c>
      <c r="T63" s="62">
        <v>9.2233566460567911</v>
      </c>
      <c r="U63" s="62">
        <v>41.332804304346318</v>
      </c>
      <c r="V63" s="62">
        <v>7.0837615292326497</v>
      </c>
      <c r="W63" s="62">
        <v>4.3933701084775727</v>
      </c>
      <c r="X63" s="62">
        <v>13.287661007727129</v>
      </c>
      <c r="Y63" s="62">
        <v>11.431650645830249</v>
      </c>
    </row>
    <row r="64" spans="1:25" s="19" customFormat="1" ht="15.95" customHeight="1" x14ac:dyDescent="0.25">
      <c r="A64" s="37"/>
      <c r="B64" s="38" t="s">
        <v>132</v>
      </c>
      <c r="C64" s="35"/>
      <c r="D64" s="61">
        <v>31.813485369547664</v>
      </c>
      <c r="E64" s="62">
        <v>45.529940623171086</v>
      </c>
      <c r="F64" s="62">
        <v>16.149089614943687</v>
      </c>
      <c r="G64" s="62">
        <v>11.30142153971441</v>
      </c>
      <c r="H64" s="62">
        <v>6.8473286271229377</v>
      </c>
      <c r="I64" s="62">
        <v>9.8070755584729774</v>
      </c>
      <c r="J64" s="62">
        <v>11.111775720133547</v>
      </c>
      <c r="K64" s="62">
        <v>10.574544785687031</v>
      </c>
      <c r="L64" s="62">
        <v>9.5726773831236347</v>
      </c>
      <c r="M64" s="62">
        <v>7.6678757589578499</v>
      </c>
      <c r="N64" s="62">
        <v>7.0571600443393789</v>
      </c>
      <c r="O64" s="62">
        <v>8.3483062860423161</v>
      </c>
      <c r="P64" s="62">
        <v>7.8490829138744882</v>
      </c>
      <c r="Q64" s="62">
        <v>7.7750420692237912</v>
      </c>
      <c r="R64" s="62">
        <v>4.7676586358146702</v>
      </c>
      <c r="S64" s="62">
        <v>6.1053107685922496</v>
      </c>
      <c r="T64" s="62">
        <v>8.755425288042904</v>
      </c>
      <c r="U64" s="62">
        <v>45.141984641402054</v>
      </c>
      <c r="V64" s="62">
        <v>8.8730137509463933</v>
      </c>
      <c r="W64" s="62">
        <v>4.2915314215900571</v>
      </c>
      <c r="X64" s="62">
        <v>10.309204749970963</v>
      </c>
      <c r="Y64" s="62">
        <v>13.347466884900649</v>
      </c>
    </row>
    <row r="65" spans="1:25" s="19" customFormat="1" ht="15.95" customHeight="1" x14ac:dyDescent="0.25">
      <c r="A65" s="37"/>
      <c r="B65" s="38" t="s">
        <v>133</v>
      </c>
      <c r="C65" s="35"/>
      <c r="D65" s="61">
        <v>33.563799209572245</v>
      </c>
      <c r="E65" s="62">
        <v>44.6274358701409</v>
      </c>
      <c r="F65" s="62">
        <v>15.012241076673543</v>
      </c>
      <c r="G65" s="62">
        <v>9.3136228255240834</v>
      </c>
      <c r="H65" s="62">
        <v>6.3459081483465232</v>
      </c>
      <c r="I65" s="62">
        <v>10.02325489207931</v>
      </c>
      <c r="J65" s="62">
        <v>8.3236239591514334</v>
      </c>
      <c r="K65" s="62">
        <v>12.638410858440505</v>
      </c>
      <c r="L65" s="62">
        <v>10.258754724207227</v>
      </c>
      <c r="M65" s="62">
        <v>6.701809610786075</v>
      </c>
      <c r="N65" s="62">
        <v>7.7920098526371753</v>
      </c>
      <c r="O65" s="62">
        <v>6.6407838093269209</v>
      </c>
      <c r="P65" s="62">
        <v>8.2409749153433811</v>
      </c>
      <c r="Q65" s="62">
        <v>8.3099821046366547</v>
      </c>
      <c r="R65" s="62">
        <v>4.4942502133580104</v>
      </c>
      <c r="S65" s="62">
        <v>5.230830264997028</v>
      </c>
      <c r="T65" s="62">
        <v>8.1292534116028765</v>
      </c>
      <c r="U65" s="62">
        <v>43.771330208888905</v>
      </c>
      <c r="V65" s="62">
        <v>8.097554537991341</v>
      </c>
      <c r="W65" s="62">
        <v>5.7284266949176814</v>
      </c>
      <c r="X65" s="62">
        <v>12.122515318488089</v>
      </c>
      <c r="Y65" s="62">
        <v>11.295564918936101</v>
      </c>
    </row>
    <row r="66" spans="1:25" s="19" customFormat="1" ht="15.95" customHeight="1" x14ac:dyDescent="0.25">
      <c r="A66" s="37"/>
      <c r="B66" s="38" t="s">
        <v>134</v>
      </c>
      <c r="C66" s="35"/>
      <c r="D66" s="61">
        <v>37.299312652397681</v>
      </c>
      <c r="E66" s="62">
        <v>44.173345965868833</v>
      </c>
      <c r="F66" s="62">
        <v>15.857599852269081</v>
      </c>
      <c r="G66" s="62">
        <v>12.242902404874913</v>
      </c>
      <c r="H66" s="62">
        <v>7.022276752812072</v>
      </c>
      <c r="I66" s="62">
        <v>10.683945679518491</v>
      </c>
      <c r="J66" s="62">
        <v>11.624460601319088</v>
      </c>
      <c r="K66" s="62">
        <v>11.124566792211022</v>
      </c>
      <c r="L66" s="62">
        <v>9.677128969077085</v>
      </c>
      <c r="M66" s="62">
        <v>7.1881383027425736</v>
      </c>
      <c r="N66" s="62">
        <v>7.6168316928456861</v>
      </c>
      <c r="O66" s="62">
        <v>5.7808811760015839</v>
      </c>
      <c r="P66" s="62">
        <v>6.6248999285930017</v>
      </c>
      <c r="Q66" s="62">
        <v>8.3562442446176739</v>
      </c>
      <c r="R66" s="62">
        <v>4.1967746265592014</v>
      </c>
      <c r="S66" s="62">
        <v>5.9032944459121239</v>
      </c>
      <c r="T66" s="62">
        <v>8.5697064487773513</v>
      </c>
      <c r="U66" s="62">
        <v>42.051836227229444</v>
      </c>
      <c r="V66" s="62">
        <v>9.0931586734095475</v>
      </c>
      <c r="W66" s="62">
        <v>5.8909428715754046</v>
      </c>
      <c r="X66" s="62">
        <v>8.5405822316052511</v>
      </c>
      <c r="Y66" s="62">
        <v>6.5536856154100604</v>
      </c>
    </row>
    <row r="67" spans="1:25" s="19" customFormat="1" ht="15.95" customHeight="1" x14ac:dyDescent="0.25">
      <c r="A67" s="37"/>
      <c r="B67" s="38" t="s">
        <v>135</v>
      </c>
      <c r="C67" s="35"/>
      <c r="D67" s="61">
        <v>37.983870364575168</v>
      </c>
      <c r="E67" s="62">
        <v>46.171840730994425</v>
      </c>
      <c r="F67" s="62">
        <v>14.837966703750961</v>
      </c>
      <c r="G67" s="62">
        <v>11.067159252850267</v>
      </c>
      <c r="H67" s="62">
        <v>7.1151921933132902</v>
      </c>
      <c r="I67" s="62">
        <v>9.4338134773498012</v>
      </c>
      <c r="J67" s="62">
        <v>9.8116689224859517</v>
      </c>
      <c r="K67" s="62">
        <v>10.327054219246273</v>
      </c>
      <c r="L67" s="62">
        <v>7.4813184534123973</v>
      </c>
      <c r="M67" s="62">
        <v>8.496199580733947</v>
      </c>
      <c r="N67" s="62">
        <v>5.8877668245174153</v>
      </c>
      <c r="O67" s="62">
        <v>6.1115713047037197</v>
      </c>
      <c r="P67" s="62">
        <v>7.5490497644025654</v>
      </c>
      <c r="Q67" s="62">
        <v>6.8590933071330413</v>
      </c>
      <c r="R67" s="62">
        <v>4.9809945155936051</v>
      </c>
      <c r="S67" s="62">
        <v>4.1285656651571783</v>
      </c>
      <c r="T67" s="62">
        <v>7.8981525685210716</v>
      </c>
      <c r="U67" s="62">
        <v>43.367431167129375</v>
      </c>
      <c r="V67" s="62">
        <v>9.602479063054723</v>
      </c>
      <c r="W67" s="62">
        <v>6.7830079119244724</v>
      </c>
      <c r="X67" s="62">
        <v>8.7133859015853208</v>
      </c>
      <c r="Y67" s="62">
        <v>11.486166820839379</v>
      </c>
    </row>
    <row r="68" spans="1:25" s="19" customFormat="1" ht="15.95" customHeight="1" x14ac:dyDescent="0.25">
      <c r="A68" s="37"/>
      <c r="B68" s="38" t="s">
        <v>136</v>
      </c>
      <c r="C68" s="35"/>
      <c r="D68" s="61">
        <v>33.98505654005988</v>
      </c>
      <c r="E68" s="62">
        <v>47.579178971054553</v>
      </c>
      <c r="F68" s="62">
        <v>16.509083688048733</v>
      </c>
      <c r="G68" s="62">
        <v>10.655877985712902</v>
      </c>
      <c r="H68" s="62">
        <v>5.0321233308372637</v>
      </c>
      <c r="I68" s="62">
        <v>9.8809238387387506</v>
      </c>
      <c r="J68" s="62">
        <v>9.1258750842490652</v>
      </c>
      <c r="K68" s="62">
        <v>11.807551402404719</v>
      </c>
      <c r="L68" s="62">
        <v>10.255275910010917</v>
      </c>
      <c r="M68" s="62">
        <v>7.6333840472426457</v>
      </c>
      <c r="N68" s="62">
        <v>8.1655536561374173</v>
      </c>
      <c r="O68" s="62">
        <v>8.141950970321842</v>
      </c>
      <c r="P68" s="62">
        <v>8.0757914204641938</v>
      </c>
      <c r="Q68" s="62">
        <v>7.2939597049467331</v>
      </c>
      <c r="R68" s="62">
        <v>4.3409007008170173</v>
      </c>
      <c r="S68" s="62">
        <v>4.2655207307211604</v>
      </c>
      <c r="T68" s="62">
        <v>7.3445854534686861</v>
      </c>
      <c r="U68" s="62">
        <v>39.832453332295159</v>
      </c>
      <c r="V68" s="62">
        <v>10.031371753031882</v>
      </c>
      <c r="W68" s="62">
        <v>6.3356615011584196</v>
      </c>
      <c r="X68" s="62">
        <v>7.7401171793509045</v>
      </c>
      <c r="Y68" s="62">
        <v>10.284638049238911</v>
      </c>
    </row>
    <row r="69" spans="1:25" s="19" customFormat="1" ht="15.95" customHeight="1" x14ac:dyDescent="0.25">
      <c r="A69" s="37"/>
      <c r="B69" s="38" t="s">
        <v>192</v>
      </c>
      <c r="C69" s="35"/>
      <c r="D69" s="61">
        <v>36.031788584785936</v>
      </c>
      <c r="E69" s="62">
        <v>45.35884726856964</v>
      </c>
      <c r="F69" s="62">
        <v>13.66661679948888</v>
      </c>
      <c r="G69" s="62">
        <v>6.9071828302271605</v>
      </c>
      <c r="H69" s="62">
        <v>6.2275870829049236</v>
      </c>
      <c r="I69" s="62">
        <v>7.1460164818712935</v>
      </c>
      <c r="J69" s="62">
        <v>9.2576746722610181</v>
      </c>
      <c r="K69" s="62">
        <v>5.9641769203714574</v>
      </c>
      <c r="L69" s="62">
        <v>7.2473915460285765</v>
      </c>
      <c r="M69" s="62">
        <v>4.8591303003203814</v>
      </c>
      <c r="N69" s="62">
        <v>6.78502436462544</v>
      </c>
      <c r="O69" s="62">
        <v>5.3342886577442776</v>
      </c>
      <c r="P69" s="62">
        <v>8.0054033750221922</v>
      </c>
      <c r="Q69" s="62">
        <v>5.3122387524722985</v>
      </c>
      <c r="R69" s="62">
        <v>1.4562517864304976</v>
      </c>
      <c r="S69" s="62">
        <v>4.5193309586065791</v>
      </c>
      <c r="T69" s="62">
        <v>4.2537346932930733</v>
      </c>
      <c r="U69" s="62">
        <v>34.099554348846958</v>
      </c>
      <c r="V69" s="62">
        <v>7.223407548054273</v>
      </c>
      <c r="W69" s="62">
        <v>4.5728345564135591</v>
      </c>
      <c r="X69" s="62">
        <v>9.1033340839025509</v>
      </c>
      <c r="Y69" s="62">
        <v>11.127840113687734</v>
      </c>
    </row>
    <row r="70" spans="1:25" s="19" customFormat="1" ht="15.95" customHeight="1" x14ac:dyDescent="0.25">
      <c r="A70" s="37"/>
      <c r="B70" s="38" t="s">
        <v>193</v>
      </c>
      <c r="C70" s="35"/>
      <c r="D70" s="61">
        <v>29.812904520231434</v>
      </c>
      <c r="E70" s="62">
        <v>44.562826016764852</v>
      </c>
      <c r="F70" s="62">
        <v>10.238340234354373</v>
      </c>
      <c r="G70" s="62">
        <v>8.5729586048821442</v>
      </c>
      <c r="H70" s="62">
        <v>5.3708033186255006</v>
      </c>
      <c r="I70" s="62">
        <v>8.608507977422251</v>
      </c>
      <c r="J70" s="62">
        <v>7.6957472841913752</v>
      </c>
      <c r="K70" s="62">
        <v>5.1894426898206829</v>
      </c>
      <c r="L70" s="62">
        <v>6.0914455155601148</v>
      </c>
      <c r="M70" s="62">
        <v>5.2677317611336179</v>
      </c>
      <c r="N70" s="62">
        <v>4.2442622478272467</v>
      </c>
      <c r="O70" s="62">
        <v>4.6884584765707658</v>
      </c>
      <c r="P70" s="62">
        <v>3.528605365270332</v>
      </c>
      <c r="Q70" s="62">
        <v>8.5847462739204481</v>
      </c>
      <c r="R70" s="62">
        <v>3.0444183809337413</v>
      </c>
      <c r="S70" s="62">
        <v>3.5248890651618958</v>
      </c>
      <c r="T70" s="62">
        <v>3.1747314588808364</v>
      </c>
      <c r="U70" s="62">
        <v>36.769005143074168</v>
      </c>
      <c r="V70" s="62">
        <v>6.8555501347600476</v>
      </c>
      <c r="W70" s="62">
        <v>4.2375911976625273</v>
      </c>
      <c r="X70" s="62">
        <v>4.8189101453147964</v>
      </c>
      <c r="Y70" s="62">
        <v>9.671402587763561</v>
      </c>
    </row>
    <row r="71" spans="1:25" s="19" customFormat="1" ht="15.95" customHeight="1" x14ac:dyDescent="0.25">
      <c r="A71" s="37"/>
      <c r="B71" s="38" t="s">
        <v>206</v>
      </c>
      <c r="C71" s="35"/>
      <c r="D71" s="61">
        <f>D$9</f>
        <v>30.246852238474911</v>
      </c>
      <c r="E71" s="62">
        <f t="shared" ref="E71:Y71" si="0">E$9</f>
        <v>38.873937396606529</v>
      </c>
      <c r="F71" s="62">
        <f t="shared" si="0"/>
        <v>15.137300293666303</v>
      </c>
      <c r="G71" s="62">
        <f t="shared" si="0"/>
        <v>6.4730448389170672</v>
      </c>
      <c r="H71" s="62">
        <f t="shared" si="0"/>
        <v>3.360984084327804</v>
      </c>
      <c r="I71" s="62">
        <f t="shared" si="0"/>
        <v>10.617575267593359</v>
      </c>
      <c r="J71" s="62">
        <f t="shared" si="0"/>
        <v>7.9488054860820299</v>
      </c>
      <c r="K71" s="62">
        <f t="shared" si="0"/>
        <v>6.9461381984647304</v>
      </c>
      <c r="L71" s="62">
        <f t="shared" si="0"/>
        <v>7.9476698890301769</v>
      </c>
      <c r="M71" s="62">
        <f t="shared" si="0"/>
        <v>4.2227561199429502</v>
      </c>
      <c r="N71" s="62">
        <f t="shared" si="0"/>
        <v>3.5357017745106027</v>
      </c>
      <c r="O71" s="62">
        <f t="shared" si="0"/>
        <v>6.1565885335398063</v>
      </c>
      <c r="P71" s="62">
        <f t="shared" si="0"/>
        <v>1.6627847582525779</v>
      </c>
      <c r="Q71" s="62">
        <f t="shared" si="0"/>
        <v>5.0277961292143063</v>
      </c>
      <c r="R71" s="62">
        <f t="shared" si="0"/>
        <v>6.5217768448549958</v>
      </c>
      <c r="S71" s="62">
        <f t="shared" si="0"/>
        <v>2.9075822705176018</v>
      </c>
      <c r="T71" s="62">
        <f t="shared" si="0"/>
        <v>4.99807062859455</v>
      </c>
      <c r="U71" s="62">
        <f t="shared" si="0"/>
        <v>30.908366961207157</v>
      </c>
      <c r="V71" s="62">
        <f t="shared" si="0"/>
        <v>4.8741139479416606</v>
      </c>
      <c r="W71" s="62">
        <f t="shared" si="0"/>
        <v>5.0749659999866861</v>
      </c>
      <c r="X71" s="62">
        <f t="shared" si="0"/>
        <v>3.9813857553286667</v>
      </c>
      <c r="Y71" s="62">
        <f t="shared" si="0"/>
        <v>7.4753592521979124</v>
      </c>
    </row>
    <row r="72" spans="1:25" s="23" customFormat="1" ht="6" customHeight="1" x14ac:dyDescent="0.25">
      <c r="A72" s="39"/>
      <c r="B72" s="40"/>
      <c r="C72" s="41"/>
      <c r="D72" s="42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6.5" customHeight="1" x14ac:dyDescent="0.25">
      <c r="A73" s="44"/>
      <c r="O73" s="144"/>
    </row>
  </sheetData>
  <mergeCells count="4">
    <mergeCell ref="A1:N1"/>
    <mergeCell ref="A3:N3"/>
    <mergeCell ref="A5:C5"/>
    <mergeCell ref="A2:N2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3" max="16383" man="1"/>
  </rowBreaks>
  <colBreaks count="1" manualBreakCount="1">
    <brk id="1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A76D-1021-4710-871E-DAA991152595}">
  <sheetPr codeName="工作表79"/>
  <dimension ref="A14:I23"/>
  <sheetViews>
    <sheetView showGridLines="0" view="pageBreakPreview" zoomScale="120" zoomScaleNormal="85" zoomScaleSheetLayoutView="120" workbookViewId="0"/>
  </sheetViews>
  <sheetFormatPr defaultColWidth="9" defaultRowHeight="11.1" customHeight="1" x14ac:dyDescent="0.25"/>
  <cols>
    <col min="1" max="1" width="3.625" style="18" customWidth="1"/>
    <col min="2" max="2" width="9" style="44"/>
    <col min="3" max="3" width="9" style="48"/>
    <col min="4" max="5" width="9" style="46"/>
    <col min="6" max="8" width="9" style="47"/>
    <col min="9" max="16384" width="9" style="46"/>
  </cols>
  <sheetData>
    <row r="14" spans="2:9" ht="11.1" customHeight="1" thickBot="1" x14ac:dyDescent="0.3"/>
    <row r="15" spans="2:9" ht="11.1" customHeight="1" x14ac:dyDescent="0.25">
      <c r="B15" s="292" t="s">
        <v>238</v>
      </c>
      <c r="C15" s="247"/>
      <c r="D15" s="247"/>
      <c r="E15" s="247"/>
      <c r="F15" s="247"/>
      <c r="G15" s="247"/>
      <c r="H15" s="247"/>
      <c r="I15" s="248"/>
    </row>
    <row r="16" spans="2:9" ht="11.1" customHeight="1" x14ac:dyDescent="0.25">
      <c r="B16" s="249"/>
      <c r="C16" s="250"/>
      <c r="D16" s="250"/>
      <c r="E16" s="250"/>
      <c r="F16" s="250"/>
      <c r="G16" s="250"/>
      <c r="H16" s="250"/>
      <c r="I16" s="251"/>
    </row>
    <row r="17" spans="2:9" ht="11.1" customHeight="1" x14ac:dyDescent="0.25">
      <c r="B17" s="249"/>
      <c r="C17" s="250"/>
      <c r="D17" s="250"/>
      <c r="E17" s="250"/>
      <c r="F17" s="250"/>
      <c r="G17" s="250"/>
      <c r="H17" s="250"/>
      <c r="I17" s="251"/>
    </row>
    <row r="18" spans="2:9" ht="11.1" customHeight="1" x14ac:dyDescent="0.25">
      <c r="B18" s="249"/>
      <c r="C18" s="250"/>
      <c r="D18" s="250"/>
      <c r="E18" s="250"/>
      <c r="F18" s="250"/>
      <c r="G18" s="250"/>
      <c r="H18" s="250"/>
      <c r="I18" s="251"/>
    </row>
    <row r="19" spans="2:9" ht="11.1" customHeight="1" x14ac:dyDescent="0.25">
      <c r="B19" s="249"/>
      <c r="C19" s="250"/>
      <c r="D19" s="250"/>
      <c r="E19" s="250"/>
      <c r="F19" s="250"/>
      <c r="G19" s="250"/>
      <c r="H19" s="250"/>
      <c r="I19" s="251"/>
    </row>
    <row r="20" spans="2:9" ht="11.1" customHeight="1" x14ac:dyDescent="0.25">
      <c r="B20" s="249"/>
      <c r="C20" s="250"/>
      <c r="D20" s="250"/>
      <c r="E20" s="250"/>
      <c r="F20" s="250"/>
      <c r="G20" s="250"/>
      <c r="H20" s="250"/>
      <c r="I20" s="251"/>
    </row>
    <row r="21" spans="2:9" ht="11.1" customHeight="1" x14ac:dyDescent="0.25">
      <c r="B21" s="249"/>
      <c r="C21" s="250"/>
      <c r="D21" s="250"/>
      <c r="E21" s="250"/>
      <c r="F21" s="250"/>
      <c r="G21" s="250"/>
      <c r="H21" s="250"/>
      <c r="I21" s="251"/>
    </row>
    <row r="22" spans="2:9" ht="11.1" customHeight="1" x14ac:dyDescent="0.25">
      <c r="B22" s="249"/>
      <c r="C22" s="250"/>
      <c r="D22" s="250"/>
      <c r="E22" s="250"/>
      <c r="F22" s="250"/>
      <c r="G22" s="250"/>
      <c r="H22" s="250"/>
      <c r="I22" s="251"/>
    </row>
    <row r="23" spans="2:9" ht="11.1" customHeight="1" thickBot="1" x14ac:dyDescent="0.3">
      <c r="B23" s="252"/>
      <c r="C23" s="253"/>
      <c r="D23" s="253"/>
      <c r="E23" s="253"/>
      <c r="F23" s="253"/>
      <c r="G23" s="253"/>
      <c r="H23" s="253"/>
      <c r="I23" s="254"/>
    </row>
  </sheetData>
  <mergeCells count="1">
    <mergeCell ref="B15:I23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7C1-3880-4812-826B-589C0D0B41CC}">
  <sheetPr codeName="工作表60"/>
  <dimension ref="A1:H102"/>
  <sheetViews>
    <sheetView showGridLines="0" view="pageBreakPreview" zoomScale="120" zoomScaleNormal="100" zoomScaleSheetLayoutView="120" workbookViewId="0">
      <selection activeCell="R25" sqref="R25"/>
    </sheetView>
  </sheetViews>
  <sheetFormatPr defaultColWidth="9" defaultRowHeight="11.1" customHeight="1" x14ac:dyDescent="0.25"/>
  <cols>
    <col min="1" max="1" width="1.75" style="18" customWidth="1"/>
    <col min="2" max="2" width="15.125" style="44" customWidth="1"/>
    <col min="3" max="3" width="2.5" style="48" customWidth="1"/>
    <col min="4" max="4" width="11.625" style="46" customWidth="1"/>
    <col min="5" max="8" width="11.625" style="47" customWidth="1"/>
    <col min="9" max="16384" width="9" style="46"/>
  </cols>
  <sheetData>
    <row r="1" spans="1:8" s="14" customFormat="1" ht="22.15" customHeight="1" x14ac:dyDescent="0.25">
      <c r="A1" s="255" t="s">
        <v>272</v>
      </c>
      <c r="B1" s="256"/>
      <c r="C1" s="256"/>
      <c r="D1" s="256"/>
      <c r="E1" s="256"/>
      <c r="F1" s="256"/>
      <c r="G1" s="256"/>
      <c r="H1" s="256"/>
    </row>
    <row r="2" spans="1:8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</row>
    <row r="3" spans="1:8" s="19" customFormat="1" ht="13.5" customHeight="1" x14ac:dyDescent="0.25">
      <c r="A3" s="257" t="s">
        <v>179</v>
      </c>
      <c r="B3" s="257"/>
      <c r="C3" s="257"/>
      <c r="D3" s="257"/>
      <c r="E3" s="257"/>
      <c r="F3" s="257"/>
      <c r="G3" s="257"/>
      <c r="H3" s="257"/>
    </row>
    <row r="4" spans="1:8" s="28" customFormat="1" ht="13.5" x14ac:dyDescent="0.25">
      <c r="A4" s="24"/>
      <c r="B4" s="24"/>
      <c r="C4" s="24"/>
      <c r="D4" s="25"/>
      <c r="E4" s="26"/>
      <c r="F4" s="26"/>
      <c r="G4" s="26"/>
      <c r="H4" s="27" t="s">
        <v>160</v>
      </c>
    </row>
    <row r="5" spans="1:8" s="19" customFormat="1" ht="9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</row>
    <row r="6" spans="1:8" s="19" customFormat="1" ht="15" customHeight="1" x14ac:dyDescent="0.25">
      <c r="A6" s="260"/>
      <c r="B6" s="260"/>
      <c r="C6" s="261"/>
      <c r="D6" s="261"/>
      <c r="E6" s="265"/>
      <c r="F6" s="270" t="s">
        <v>0</v>
      </c>
      <c r="G6" s="270" t="s">
        <v>1</v>
      </c>
      <c r="H6" s="272" t="s">
        <v>2</v>
      </c>
    </row>
    <row r="7" spans="1:8" s="19" customFormat="1" ht="24" customHeight="1" x14ac:dyDescent="0.25">
      <c r="A7" s="262"/>
      <c r="B7" s="262"/>
      <c r="C7" s="263"/>
      <c r="D7" s="263"/>
      <c r="E7" s="266"/>
      <c r="F7" s="271"/>
      <c r="G7" s="271"/>
      <c r="H7" s="273"/>
    </row>
    <row r="8" spans="1:8" s="19" customFormat="1" ht="4.5" customHeight="1" x14ac:dyDescent="0.25">
      <c r="A8" s="30"/>
      <c r="B8" s="31"/>
      <c r="C8" s="32"/>
      <c r="D8" s="77"/>
      <c r="E8" s="80"/>
      <c r="F8" s="81"/>
      <c r="G8" s="81"/>
      <c r="H8" s="81"/>
    </row>
    <row r="9" spans="1:8" s="19" customFormat="1" ht="12.75" customHeight="1" x14ac:dyDescent="0.25">
      <c r="A9" s="33" t="s">
        <v>22</v>
      </c>
      <c r="B9" s="34"/>
      <c r="C9" s="35"/>
      <c r="D9" s="168">
        <v>64963.630763549656</v>
      </c>
      <c r="E9" s="57">
        <v>100</v>
      </c>
      <c r="F9" s="58">
        <v>12.996964749536808</v>
      </c>
      <c r="G9" s="58">
        <v>10.670679819666768</v>
      </c>
      <c r="H9" s="58">
        <v>76.332355430795786</v>
      </c>
    </row>
    <row r="10" spans="1:8" s="19" customFormat="1" ht="12.75" customHeight="1" x14ac:dyDescent="0.25">
      <c r="A10" s="37" t="s">
        <v>23</v>
      </c>
      <c r="B10" s="38"/>
      <c r="C10" s="36" t="s">
        <v>19</v>
      </c>
      <c r="D10" s="169"/>
      <c r="E10" s="61"/>
      <c r="F10" s="62"/>
      <c r="G10" s="62"/>
      <c r="H10" s="62"/>
    </row>
    <row r="11" spans="1:8" s="19" customFormat="1" ht="12.75" customHeight="1" x14ac:dyDescent="0.25">
      <c r="A11" s="37"/>
      <c r="B11" s="38" t="s">
        <v>24</v>
      </c>
      <c r="C11" s="35"/>
      <c r="D11" s="169">
        <v>10223.696897919206</v>
      </c>
      <c r="E11" s="61">
        <v>100</v>
      </c>
      <c r="F11" s="62">
        <v>26.610279537208175</v>
      </c>
      <c r="G11" s="62">
        <v>11.645506588819714</v>
      </c>
      <c r="H11" s="62">
        <v>61.74421387397247</v>
      </c>
    </row>
    <row r="12" spans="1:8" s="19" customFormat="1" ht="12.75" customHeight="1" x14ac:dyDescent="0.25">
      <c r="A12" s="37"/>
      <c r="B12" s="38" t="s">
        <v>25</v>
      </c>
      <c r="C12" s="35"/>
      <c r="D12" s="169">
        <v>6711.7653687705688</v>
      </c>
      <c r="E12" s="61">
        <v>100</v>
      </c>
      <c r="F12" s="62">
        <v>37.835254042431018</v>
      </c>
      <c r="G12" s="62">
        <v>19.73113914753689</v>
      </c>
      <c r="H12" s="62">
        <v>42.433606810032245</v>
      </c>
    </row>
    <row r="13" spans="1:8" s="19" customFormat="1" ht="12.75" customHeight="1" x14ac:dyDescent="0.25">
      <c r="A13" s="37"/>
      <c r="B13" s="38" t="s">
        <v>26</v>
      </c>
      <c r="C13" s="35"/>
      <c r="D13" s="169">
        <v>6708.0223235026142</v>
      </c>
      <c r="E13" s="61">
        <v>100</v>
      </c>
      <c r="F13" s="62">
        <v>10.501820888442046</v>
      </c>
      <c r="G13" s="62">
        <v>11.294940236107539</v>
      </c>
      <c r="H13" s="62">
        <v>78.203238875450566</v>
      </c>
    </row>
    <row r="14" spans="1:8" s="19" customFormat="1" ht="12.75" customHeight="1" x14ac:dyDescent="0.25">
      <c r="A14" s="37"/>
      <c r="B14" s="38" t="s">
        <v>27</v>
      </c>
      <c r="C14" s="35"/>
      <c r="D14" s="169">
        <v>7038.8311471793286</v>
      </c>
      <c r="E14" s="61">
        <v>100</v>
      </c>
      <c r="F14" s="62">
        <v>7.3689575741943374</v>
      </c>
      <c r="G14" s="62">
        <v>8.9863250110502673</v>
      </c>
      <c r="H14" s="62">
        <v>83.644717414755334</v>
      </c>
    </row>
    <row r="15" spans="1:8" s="19" customFormat="1" ht="12.75" customHeight="1" x14ac:dyDescent="0.25">
      <c r="A15" s="37"/>
      <c r="B15" s="38" t="s">
        <v>28</v>
      </c>
      <c r="C15" s="35"/>
      <c r="D15" s="169">
        <v>5905.217535680903</v>
      </c>
      <c r="E15" s="61">
        <v>100</v>
      </c>
      <c r="F15" s="62">
        <v>3.9110033167205636</v>
      </c>
      <c r="G15" s="62">
        <v>8.9094724136707235</v>
      </c>
      <c r="H15" s="62">
        <v>87.179524269608706</v>
      </c>
    </row>
    <row r="16" spans="1:8" s="19" customFormat="1" ht="12.75" customHeight="1" x14ac:dyDescent="0.25">
      <c r="A16" s="37"/>
      <c r="B16" s="38" t="s">
        <v>29</v>
      </c>
      <c r="C16" s="35"/>
      <c r="D16" s="169">
        <v>8427.3613606957624</v>
      </c>
      <c r="E16" s="61">
        <v>100</v>
      </c>
      <c r="F16" s="62">
        <v>7.386639030766565</v>
      </c>
      <c r="G16" s="62">
        <v>8.4051170398512625</v>
      </c>
      <c r="H16" s="62">
        <v>84.20824392938222</v>
      </c>
    </row>
    <row r="17" spans="1:8" s="19" customFormat="1" ht="12.75" customHeight="1" x14ac:dyDescent="0.25">
      <c r="A17" s="37"/>
      <c r="B17" s="38" t="s">
        <v>30</v>
      </c>
      <c r="C17" s="35"/>
      <c r="D17" s="169">
        <v>1393.9731726661441</v>
      </c>
      <c r="E17" s="61">
        <v>100</v>
      </c>
      <c r="F17" s="62">
        <v>6.9195073725832534</v>
      </c>
      <c r="G17" s="62">
        <v>8.8557952746172326</v>
      </c>
      <c r="H17" s="62">
        <v>84.22469735280032</v>
      </c>
    </row>
    <row r="18" spans="1:8" s="19" customFormat="1" ht="12.75" customHeight="1" x14ac:dyDescent="0.25">
      <c r="A18" s="37"/>
      <c r="B18" s="38" t="s">
        <v>31</v>
      </c>
      <c r="C18" s="35"/>
      <c r="D18" s="169">
        <v>1667.8871299640866</v>
      </c>
      <c r="E18" s="61">
        <v>100</v>
      </c>
      <c r="F18" s="62">
        <v>5.9061326568050498</v>
      </c>
      <c r="G18" s="62">
        <v>9.5970753851638815</v>
      </c>
      <c r="H18" s="62">
        <v>84.496791958030457</v>
      </c>
    </row>
    <row r="19" spans="1:8" s="19" customFormat="1" ht="12.75" customHeight="1" x14ac:dyDescent="0.25">
      <c r="A19" s="37"/>
      <c r="B19" s="38" t="s">
        <v>32</v>
      </c>
      <c r="C19" s="35"/>
      <c r="D19" s="169">
        <v>1563.9616450668389</v>
      </c>
      <c r="E19" s="61">
        <v>100</v>
      </c>
      <c r="F19" s="62">
        <v>6.2181009789370991</v>
      </c>
      <c r="G19" s="62">
        <v>8.9883911277722692</v>
      </c>
      <c r="H19" s="62">
        <v>84.793507893290595</v>
      </c>
    </row>
    <row r="20" spans="1:8" s="19" customFormat="1" ht="12.75" customHeight="1" x14ac:dyDescent="0.25">
      <c r="A20" s="37"/>
      <c r="B20" s="38" t="s">
        <v>33</v>
      </c>
      <c r="C20" s="35"/>
      <c r="D20" s="169">
        <v>2955.3726000839661</v>
      </c>
      <c r="E20" s="61">
        <v>100</v>
      </c>
      <c r="F20" s="62">
        <v>3.1087440719566817</v>
      </c>
      <c r="G20" s="62">
        <v>7.0558706804905427</v>
      </c>
      <c r="H20" s="62">
        <v>89.835385247552537</v>
      </c>
    </row>
    <row r="21" spans="1:8" s="19" customFormat="1" ht="12.75" customHeight="1" x14ac:dyDescent="0.25">
      <c r="A21" s="37"/>
      <c r="B21" s="38" t="s">
        <v>34</v>
      </c>
      <c r="C21" s="35"/>
      <c r="D21" s="169">
        <v>1463.8493177621353</v>
      </c>
      <c r="E21" s="61">
        <v>100</v>
      </c>
      <c r="F21" s="62">
        <v>2.8850443532798367</v>
      </c>
      <c r="G21" s="62">
        <v>9.3759996237235566</v>
      </c>
      <c r="H21" s="62">
        <v>87.738956022995779</v>
      </c>
    </row>
    <row r="22" spans="1:8" s="19" customFormat="1" ht="12.75" customHeight="1" x14ac:dyDescent="0.25">
      <c r="A22" s="37"/>
      <c r="B22" s="38" t="s">
        <v>35</v>
      </c>
      <c r="C22" s="35"/>
      <c r="D22" s="169">
        <v>1999.5906677113016</v>
      </c>
      <c r="E22" s="61">
        <v>100</v>
      </c>
      <c r="F22" s="62">
        <v>3.5736335615315751</v>
      </c>
      <c r="G22" s="62">
        <v>9.270103080973584</v>
      </c>
      <c r="H22" s="62">
        <v>87.156263357494865</v>
      </c>
    </row>
    <row r="23" spans="1:8" s="19" customFormat="1" ht="12.75" customHeight="1" x14ac:dyDescent="0.25">
      <c r="A23" s="37"/>
      <c r="B23" s="38" t="s">
        <v>36</v>
      </c>
      <c r="C23" s="35"/>
      <c r="D23" s="169">
        <v>1366.4926183632108</v>
      </c>
      <c r="E23" s="61">
        <v>100</v>
      </c>
      <c r="F23" s="62">
        <v>2.2804485461540711</v>
      </c>
      <c r="G23" s="62">
        <v>10.076461258316986</v>
      </c>
      <c r="H23" s="62">
        <v>87.643090195528558</v>
      </c>
    </row>
    <row r="24" spans="1:8" s="19" customFormat="1" ht="12.75" customHeight="1" x14ac:dyDescent="0.25">
      <c r="A24" s="37"/>
      <c r="B24" s="38" t="s">
        <v>37</v>
      </c>
      <c r="C24" s="35"/>
      <c r="D24" s="169">
        <v>1907.1762162940042</v>
      </c>
      <c r="E24" s="61">
        <v>100</v>
      </c>
      <c r="F24" s="62">
        <v>3.5125830205644872</v>
      </c>
      <c r="G24" s="62">
        <v>6.5635799073486849</v>
      </c>
      <c r="H24" s="62">
        <v>89.923837072086698</v>
      </c>
    </row>
    <row r="25" spans="1:8" s="19" customFormat="1" ht="12.75" customHeight="1" x14ac:dyDescent="0.25">
      <c r="A25" s="37"/>
      <c r="B25" s="38" t="s">
        <v>38</v>
      </c>
      <c r="C25" s="35"/>
      <c r="D25" s="169">
        <v>559.52962272557784</v>
      </c>
      <c r="E25" s="61">
        <v>100</v>
      </c>
      <c r="F25" s="62">
        <v>4.6988484912472659</v>
      </c>
      <c r="G25" s="62">
        <v>8.0245951363010111</v>
      </c>
      <c r="H25" s="62">
        <v>87.276556372451637</v>
      </c>
    </row>
    <row r="26" spans="1:8" s="19" customFormat="1" ht="12.75" customHeight="1" x14ac:dyDescent="0.25">
      <c r="A26" s="37"/>
      <c r="B26" s="38" t="s">
        <v>39</v>
      </c>
      <c r="C26" s="35"/>
      <c r="D26" s="169">
        <v>952.14709124562728</v>
      </c>
      <c r="E26" s="61">
        <v>100</v>
      </c>
      <c r="F26" s="62">
        <v>4.0341323286787985</v>
      </c>
      <c r="G26" s="62">
        <v>9.9450933198096401</v>
      </c>
      <c r="H26" s="62">
        <v>86.020774351512017</v>
      </c>
    </row>
    <row r="27" spans="1:8" s="19" customFormat="1" ht="12.75" customHeight="1" x14ac:dyDescent="0.25">
      <c r="A27" s="37"/>
      <c r="B27" s="38" t="s">
        <v>40</v>
      </c>
      <c r="C27" s="35"/>
      <c r="D27" s="169">
        <v>282.32897679104548</v>
      </c>
      <c r="E27" s="61">
        <v>100</v>
      </c>
      <c r="F27" s="62">
        <v>5.1045019962694234</v>
      </c>
      <c r="G27" s="62">
        <v>11.464639341748386</v>
      </c>
      <c r="H27" s="62">
        <v>83.430858661982469</v>
      </c>
    </row>
    <row r="28" spans="1:8" s="19" customFormat="1" ht="12.75" customHeight="1" x14ac:dyDescent="0.25">
      <c r="A28" s="37"/>
      <c r="B28" s="38" t="s">
        <v>41</v>
      </c>
      <c r="C28" s="35"/>
      <c r="D28" s="169">
        <v>1001.8832131087203</v>
      </c>
      <c r="E28" s="61">
        <v>100</v>
      </c>
      <c r="F28" s="62">
        <v>28.758438007615503</v>
      </c>
      <c r="G28" s="62">
        <v>8.315253311737921</v>
      </c>
      <c r="H28" s="62">
        <v>62.926308680646528</v>
      </c>
    </row>
    <row r="29" spans="1:8" s="19" customFormat="1" ht="12.75" customHeight="1" x14ac:dyDescent="0.25">
      <c r="A29" s="37"/>
      <c r="B29" s="38" t="s">
        <v>42</v>
      </c>
      <c r="C29" s="35"/>
      <c r="D29" s="169">
        <v>1428.2373804243118</v>
      </c>
      <c r="E29" s="61">
        <v>100</v>
      </c>
      <c r="F29" s="62">
        <v>5.9634062112663369</v>
      </c>
      <c r="G29" s="62">
        <v>11.33994922759908</v>
      </c>
      <c r="H29" s="62">
        <v>82.696644561135074</v>
      </c>
    </row>
    <row r="30" spans="1:8" s="19" customFormat="1" ht="12.75" customHeight="1" x14ac:dyDescent="0.25">
      <c r="A30" s="37"/>
      <c r="B30" s="38" t="s">
        <v>43</v>
      </c>
      <c r="C30" s="35"/>
      <c r="D30" s="169">
        <v>926.79223324754162</v>
      </c>
      <c r="E30" s="61">
        <v>100</v>
      </c>
      <c r="F30" s="62">
        <v>3.3869264918995734</v>
      </c>
      <c r="G30" s="62">
        <v>10.227908590231145</v>
      </c>
      <c r="H30" s="62">
        <v>86.385164917869062</v>
      </c>
    </row>
    <row r="31" spans="1:8" s="19" customFormat="1" ht="12.75" customHeight="1" x14ac:dyDescent="0.25">
      <c r="A31" s="37"/>
      <c r="B31" s="38" t="s">
        <v>44</v>
      </c>
      <c r="C31" s="35"/>
      <c r="D31" s="169">
        <v>452.28330853028291</v>
      </c>
      <c r="E31" s="61">
        <v>100</v>
      </c>
      <c r="F31" s="62">
        <v>5.5207917172216661</v>
      </c>
      <c r="G31" s="62">
        <v>12.911202262609102</v>
      </c>
      <c r="H31" s="62">
        <v>81.568006020169364</v>
      </c>
    </row>
    <row r="32" spans="1:8" s="19" customFormat="1" ht="12.75" customHeight="1" x14ac:dyDescent="0.25">
      <c r="A32" s="37"/>
      <c r="B32" s="38" t="s">
        <v>45</v>
      </c>
      <c r="C32" s="35"/>
      <c r="D32" s="169">
        <v>27.230935813011428</v>
      </c>
      <c r="E32" s="61">
        <v>100</v>
      </c>
      <c r="F32" s="62">
        <v>7.4371199106855119</v>
      </c>
      <c r="G32" s="62">
        <v>14.602505920028676</v>
      </c>
      <c r="H32" s="62">
        <v>77.960374169285956</v>
      </c>
    </row>
    <row r="33" spans="1:8" s="19" customFormat="1" ht="12.75" customHeight="1" x14ac:dyDescent="0.25">
      <c r="A33" s="37" t="s">
        <v>232</v>
      </c>
      <c r="B33" s="38"/>
      <c r="C33" s="36" t="s">
        <v>19</v>
      </c>
      <c r="D33" s="169"/>
      <c r="E33" s="61"/>
      <c r="F33" s="62"/>
      <c r="G33" s="62"/>
      <c r="H33" s="62"/>
    </row>
    <row r="34" spans="1:8" s="19" customFormat="1" ht="12.75" customHeight="1" x14ac:dyDescent="0.25">
      <c r="A34" s="37"/>
      <c r="B34" s="38" t="s">
        <v>233</v>
      </c>
      <c r="C34" s="35"/>
      <c r="D34" s="169">
        <v>45014.894633748256</v>
      </c>
      <c r="E34" s="61">
        <v>100</v>
      </c>
      <c r="F34" s="62">
        <v>16.298100548741115</v>
      </c>
      <c r="G34" s="62">
        <v>11.417469198203166</v>
      </c>
      <c r="H34" s="62">
        <v>72.284430253055589</v>
      </c>
    </row>
    <row r="35" spans="1:8" s="19" customFormat="1" ht="12.75" customHeight="1" x14ac:dyDescent="0.25">
      <c r="A35" s="37"/>
      <c r="B35" s="38" t="s">
        <v>234</v>
      </c>
      <c r="C35" s="35"/>
      <c r="D35" s="169">
        <v>19948.736129797875</v>
      </c>
      <c r="E35" s="61">
        <v>100</v>
      </c>
      <c r="F35" s="62">
        <v>5.5478572368625274</v>
      </c>
      <c r="G35" s="62">
        <v>8.9855281905282887</v>
      </c>
      <c r="H35" s="62">
        <v>85.466614572607028</v>
      </c>
    </row>
    <row r="36" spans="1:8" s="19" customFormat="1" ht="12.75" customHeight="1" x14ac:dyDescent="0.25">
      <c r="A36" s="37" t="s">
        <v>46</v>
      </c>
      <c r="B36" s="38"/>
      <c r="C36" s="36" t="s">
        <v>19</v>
      </c>
      <c r="D36" s="169"/>
      <c r="E36" s="61"/>
      <c r="F36" s="62"/>
      <c r="G36" s="62"/>
      <c r="H36" s="62"/>
    </row>
    <row r="37" spans="1:8" s="19" customFormat="1" ht="12.75" customHeight="1" x14ac:dyDescent="0.25">
      <c r="A37" s="37"/>
      <c r="B37" s="38" t="s">
        <v>210</v>
      </c>
      <c r="C37" s="35"/>
      <c r="D37" s="169">
        <v>32403.020214197149</v>
      </c>
      <c r="E37" s="61">
        <v>100</v>
      </c>
      <c r="F37" s="62">
        <v>9.0717974908804813</v>
      </c>
      <c r="G37" s="62">
        <v>9.4014272367994227</v>
      </c>
      <c r="H37" s="62">
        <v>81.526775272320464</v>
      </c>
    </row>
    <row r="38" spans="1:8" s="19" customFormat="1" ht="12.75" customHeight="1" x14ac:dyDescent="0.25">
      <c r="A38" s="37"/>
      <c r="B38" s="38" t="s">
        <v>48</v>
      </c>
      <c r="C38" s="35"/>
      <c r="D38" s="169">
        <v>32560.610549349527</v>
      </c>
      <c r="E38" s="61">
        <v>100</v>
      </c>
      <c r="F38" s="62">
        <v>16.903134562710775</v>
      </c>
      <c r="G38" s="62">
        <v>11.933789337753632</v>
      </c>
      <c r="H38" s="62">
        <v>71.163076099537037</v>
      </c>
    </row>
    <row r="39" spans="1:8" s="19" customFormat="1" ht="12.75" customHeight="1" x14ac:dyDescent="0.25">
      <c r="A39" s="37" t="s">
        <v>49</v>
      </c>
      <c r="B39" s="38"/>
      <c r="C39" s="36" t="s">
        <v>19</v>
      </c>
      <c r="D39" s="169"/>
      <c r="E39" s="61"/>
      <c r="F39" s="62"/>
      <c r="G39" s="62"/>
      <c r="H39" s="62"/>
    </row>
    <row r="40" spans="1:8" s="19" customFormat="1" ht="12.75" customHeight="1" x14ac:dyDescent="0.25">
      <c r="A40" s="37"/>
      <c r="B40" s="38" t="s">
        <v>107</v>
      </c>
      <c r="C40" s="35"/>
      <c r="D40" s="169">
        <v>1745.8816058564491</v>
      </c>
      <c r="E40" s="61">
        <v>100</v>
      </c>
      <c r="F40" s="62">
        <v>49.114478242861658</v>
      </c>
      <c r="G40" s="62">
        <v>21.864630302034051</v>
      </c>
      <c r="H40" s="62">
        <v>29.020891455103669</v>
      </c>
    </row>
    <row r="41" spans="1:8" s="19" customFormat="1" ht="12.75" customHeight="1" x14ac:dyDescent="0.25">
      <c r="A41" s="37"/>
      <c r="B41" s="38" t="s">
        <v>108</v>
      </c>
      <c r="C41" s="35"/>
      <c r="D41" s="169">
        <v>1064.9479498777655</v>
      </c>
      <c r="E41" s="61">
        <v>100</v>
      </c>
      <c r="F41" s="62">
        <v>26.064601066254443</v>
      </c>
      <c r="G41" s="62">
        <v>10.018959689575617</v>
      </c>
      <c r="H41" s="62">
        <v>63.916439244169887</v>
      </c>
    </row>
    <row r="42" spans="1:8" s="19" customFormat="1" ht="12.75" customHeight="1" x14ac:dyDescent="0.25">
      <c r="A42" s="37"/>
      <c r="B42" s="38" t="s">
        <v>109</v>
      </c>
      <c r="C42" s="35"/>
      <c r="D42" s="169">
        <v>8620.4232387040993</v>
      </c>
      <c r="E42" s="61">
        <v>100</v>
      </c>
      <c r="F42" s="62">
        <v>14.302713370130895</v>
      </c>
      <c r="G42" s="62">
        <v>6.4079436311920883</v>
      </c>
      <c r="H42" s="62">
        <v>79.28934299867916</v>
      </c>
    </row>
    <row r="43" spans="1:8" s="19" customFormat="1" ht="12.75" customHeight="1" x14ac:dyDescent="0.25">
      <c r="A43" s="37"/>
      <c r="B43" s="38" t="s">
        <v>110</v>
      </c>
      <c r="C43" s="35"/>
      <c r="D43" s="169">
        <v>11493.444729573315</v>
      </c>
      <c r="E43" s="61">
        <v>100</v>
      </c>
      <c r="F43" s="62">
        <v>10.857886778556875</v>
      </c>
      <c r="G43" s="62">
        <v>5.229811162359602</v>
      </c>
      <c r="H43" s="62">
        <v>83.912302059083814</v>
      </c>
    </row>
    <row r="44" spans="1:8" s="19" customFormat="1" ht="12.75" customHeight="1" x14ac:dyDescent="0.25">
      <c r="A44" s="37"/>
      <c r="B44" s="38" t="s">
        <v>111</v>
      </c>
      <c r="C44" s="35"/>
      <c r="D44" s="169">
        <v>14473.875758845563</v>
      </c>
      <c r="E44" s="61">
        <v>100</v>
      </c>
      <c r="F44" s="62">
        <v>9.4379885712911928</v>
      </c>
      <c r="G44" s="62">
        <v>5.6528841523250133</v>
      </c>
      <c r="H44" s="62">
        <v>84.909127276383842</v>
      </c>
    </row>
    <row r="45" spans="1:8" s="19" customFormat="1" ht="12.75" customHeight="1" x14ac:dyDescent="0.25">
      <c r="A45" s="37"/>
      <c r="B45" s="38" t="s">
        <v>112</v>
      </c>
      <c r="C45" s="35"/>
      <c r="D45" s="169">
        <v>12109.974832463986</v>
      </c>
      <c r="E45" s="61">
        <v>100</v>
      </c>
      <c r="F45" s="62">
        <v>9.9451426188979326</v>
      </c>
      <c r="G45" s="62">
        <v>7.8314127738044581</v>
      </c>
      <c r="H45" s="62">
        <v>82.223444607295519</v>
      </c>
    </row>
    <row r="46" spans="1:8" s="19" customFormat="1" ht="12.75" customHeight="1" x14ac:dyDescent="0.25">
      <c r="A46" s="37"/>
      <c r="B46" s="38" t="s">
        <v>113</v>
      </c>
      <c r="C46" s="35"/>
      <c r="D46" s="169">
        <v>5288.6685383987679</v>
      </c>
      <c r="E46" s="61">
        <v>100</v>
      </c>
      <c r="F46" s="62">
        <v>9.4147660192507132</v>
      </c>
      <c r="G46" s="62">
        <v>13.766812242114675</v>
      </c>
      <c r="H46" s="62">
        <v>76.818421738638605</v>
      </c>
    </row>
    <row r="47" spans="1:8" s="19" customFormat="1" ht="12.75" customHeight="1" x14ac:dyDescent="0.25">
      <c r="A47" s="37"/>
      <c r="B47" s="38" t="s">
        <v>114</v>
      </c>
      <c r="C47" s="35"/>
      <c r="D47" s="169">
        <v>10166.414109825755</v>
      </c>
      <c r="E47" s="61">
        <v>100</v>
      </c>
      <c r="F47" s="62">
        <v>17.302390752697111</v>
      </c>
      <c r="G47" s="62">
        <v>27.497422526067428</v>
      </c>
      <c r="H47" s="62">
        <v>55.200186721236918</v>
      </c>
    </row>
    <row r="48" spans="1:8" s="19" customFormat="1" ht="5.25" customHeight="1" x14ac:dyDescent="0.25">
      <c r="A48" s="39"/>
      <c r="B48" s="40"/>
      <c r="C48" s="41"/>
      <c r="D48" s="170"/>
      <c r="E48" s="83"/>
      <c r="F48" s="84"/>
      <c r="G48" s="84"/>
      <c r="H48" s="84"/>
    </row>
    <row r="49" spans="1:8" s="19" customFormat="1" ht="12.95" customHeight="1" x14ac:dyDescent="0.25">
      <c r="A49" s="37" t="s">
        <v>50</v>
      </c>
      <c r="B49" s="38"/>
      <c r="C49" s="36" t="s">
        <v>19</v>
      </c>
      <c r="D49" s="169"/>
      <c r="E49" s="61"/>
      <c r="F49" s="62"/>
      <c r="G49" s="62"/>
      <c r="H49" s="62"/>
    </row>
    <row r="50" spans="1:8" s="19" customFormat="1" ht="12.95" customHeight="1" x14ac:dyDescent="0.25">
      <c r="A50" s="37"/>
      <c r="B50" s="38" t="s">
        <v>3</v>
      </c>
      <c r="C50" s="35"/>
      <c r="D50" s="169">
        <v>3662.4814202836792</v>
      </c>
      <c r="E50" s="61">
        <v>100</v>
      </c>
      <c r="F50" s="62">
        <v>11.635317609322065</v>
      </c>
      <c r="G50" s="62">
        <v>36.076708578217847</v>
      </c>
      <c r="H50" s="62">
        <v>52.287973812459335</v>
      </c>
    </row>
    <row r="51" spans="1:8" s="19" customFormat="1" ht="12.95" customHeight="1" x14ac:dyDescent="0.25">
      <c r="A51" s="37"/>
      <c r="B51" s="38" t="s">
        <v>115</v>
      </c>
      <c r="C51" s="35"/>
      <c r="D51" s="169">
        <v>4683.2127586322795</v>
      </c>
      <c r="E51" s="61">
        <v>100</v>
      </c>
      <c r="F51" s="62">
        <v>8.4801768068600616</v>
      </c>
      <c r="G51" s="62">
        <v>15.277834788392296</v>
      </c>
      <c r="H51" s="62">
        <v>76.241988404746834</v>
      </c>
    </row>
    <row r="52" spans="1:8" s="19" customFormat="1" ht="12.95" customHeight="1" x14ac:dyDescent="0.25">
      <c r="A52" s="37"/>
      <c r="B52" s="38" t="s">
        <v>116</v>
      </c>
      <c r="C52" s="35"/>
      <c r="D52" s="169">
        <v>17170.894745470789</v>
      </c>
      <c r="E52" s="61">
        <v>100</v>
      </c>
      <c r="F52" s="62">
        <v>11.459430186221496</v>
      </c>
      <c r="G52" s="62">
        <v>9.5629471821451677</v>
      </c>
      <c r="H52" s="62">
        <v>78.977622631633608</v>
      </c>
    </row>
    <row r="53" spans="1:8" s="19" customFormat="1" ht="12.95" customHeight="1" x14ac:dyDescent="0.25">
      <c r="A53" s="37"/>
      <c r="B53" s="38" t="s">
        <v>51</v>
      </c>
      <c r="C53" s="35"/>
      <c r="D53" s="169">
        <v>7359.8825147583857</v>
      </c>
      <c r="E53" s="61">
        <v>100</v>
      </c>
      <c r="F53" s="62">
        <v>11.056731548267029</v>
      </c>
      <c r="G53" s="62">
        <v>10.153070969930498</v>
      </c>
      <c r="H53" s="62">
        <v>78.790197481802508</v>
      </c>
    </row>
    <row r="54" spans="1:8" s="19" customFormat="1" ht="12.95" customHeight="1" x14ac:dyDescent="0.25">
      <c r="A54" s="37"/>
      <c r="B54" s="38" t="s">
        <v>52</v>
      </c>
      <c r="C54" s="35"/>
      <c r="D54" s="169">
        <v>23773.325787997619</v>
      </c>
      <c r="E54" s="61">
        <v>100</v>
      </c>
      <c r="F54" s="62">
        <v>14.278949425510815</v>
      </c>
      <c r="G54" s="62">
        <v>8.210722939006649</v>
      </c>
      <c r="H54" s="62">
        <v>77.51032763548362</v>
      </c>
    </row>
    <row r="55" spans="1:8" s="19" customFormat="1" ht="12.95" customHeight="1" x14ac:dyDescent="0.25">
      <c r="A55" s="37"/>
      <c r="B55" s="38" t="s">
        <v>4</v>
      </c>
      <c r="C55" s="35"/>
      <c r="D55" s="169">
        <v>8252.6246712155789</v>
      </c>
      <c r="E55" s="61">
        <v>100</v>
      </c>
      <c r="F55" s="62">
        <v>17.454087004483615</v>
      </c>
      <c r="G55" s="62">
        <v>6.5447893908330093</v>
      </c>
      <c r="H55" s="62">
        <v>76.001123604682988</v>
      </c>
    </row>
    <row r="56" spans="1:8" s="19" customFormat="1" ht="12.95" customHeight="1" x14ac:dyDescent="0.25">
      <c r="A56" s="37"/>
      <c r="B56" s="38" t="s">
        <v>117</v>
      </c>
      <c r="C56" s="35"/>
      <c r="D56" s="169">
        <v>61.208865187846989</v>
      </c>
      <c r="E56" s="61">
        <v>100</v>
      </c>
      <c r="F56" s="62">
        <v>5.821899510654303</v>
      </c>
      <c r="G56" s="62">
        <v>22.689970090914137</v>
      </c>
      <c r="H56" s="62">
        <v>71.488130398431565</v>
      </c>
    </row>
    <row r="57" spans="1:8" s="19" customFormat="1" ht="12.95" customHeight="1" x14ac:dyDescent="0.25">
      <c r="A57" s="33" t="s">
        <v>53</v>
      </c>
      <c r="B57" s="34"/>
      <c r="C57" s="36" t="s">
        <v>19</v>
      </c>
      <c r="D57" s="169"/>
      <c r="E57" s="61"/>
      <c r="F57" s="62"/>
      <c r="G57" s="62"/>
      <c r="H57" s="62"/>
    </row>
    <row r="58" spans="1:8" s="19" customFormat="1" ht="12.95" customHeight="1" x14ac:dyDescent="0.25">
      <c r="A58" s="37"/>
      <c r="B58" s="38" t="s">
        <v>54</v>
      </c>
      <c r="C58" s="35"/>
      <c r="D58" s="169">
        <v>1858.1567982429931</v>
      </c>
      <c r="E58" s="61">
        <v>100</v>
      </c>
      <c r="F58" s="62">
        <v>1.1631562287043382</v>
      </c>
      <c r="G58" s="62">
        <v>7.9747162647989143</v>
      </c>
      <c r="H58" s="62">
        <v>90.86212750649662</v>
      </c>
    </row>
    <row r="59" spans="1:8" s="19" customFormat="1" ht="12.95" customHeight="1" x14ac:dyDescent="0.25">
      <c r="A59" s="37"/>
      <c r="B59" s="38" t="s">
        <v>55</v>
      </c>
      <c r="C59" s="35"/>
      <c r="D59" s="169">
        <v>14337.595767206674</v>
      </c>
      <c r="E59" s="61">
        <v>100</v>
      </c>
      <c r="F59" s="62">
        <v>6.769447062960813</v>
      </c>
      <c r="G59" s="62">
        <v>2.6037635640254742</v>
      </c>
      <c r="H59" s="62">
        <v>90.626789373013267</v>
      </c>
    </row>
    <row r="60" spans="1:8" s="19" customFormat="1" ht="12.95" customHeight="1" x14ac:dyDescent="0.25">
      <c r="A60" s="37"/>
      <c r="B60" s="38" t="s">
        <v>211</v>
      </c>
      <c r="C60" s="35"/>
      <c r="D60" s="169">
        <v>3046.0184699973133</v>
      </c>
      <c r="E60" s="61">
        <v>100</v>
      </c>
      <c r="F60" s="62">
        <v>10.259670877656646</v>
      </c>
      <c r="G60" s="62">
        <v>6.6820091264083832</v>
      </c>
      <c r="H60" s="62">
        <v>83.05831999593525</v>
      </c>
    </row>
    <row r="61" spans="1:8" s="19" customFormat="1" ht="12.95" customHeight="1" x14ac:dyDescent="0.25">
      <c r="A61" s="37"/>
      <c r="B61" s="38" t="s">
        <v>212</v>
      </c>
      <c r="C61" s="35"/>
      <c r="D61" s="169">
        <v>1904.7662683013382</v>
      </c>
      <c r="E61" s="61">
        <v>100</v>
      </c>
      <c r="F61" s="62">
        <v>6.5492690297637131</v>
      </c>
      <c r="G61" s="62">
        <v>4.8050215331802368</v>
      </c>
      <c r="H61" s="62">
        <v>88.645709437055984</v>
      </c>
    </row>
    <row r="62" spans="1:8" s="19" customFormat="1" ht="12.95" customHeight="1" x14ac:dyDescent="0.25">
      <c r="A62" s="37"/>
      <c r="B62" s="38" t="s">
        <v>56</v>
      </c>
      <c r="C62" s="35"/>
      <c r="D62" s="169">
        <v>20618.803418306648</v>
      </c>
      <c r="E62" s="61">
        <v>100</v>
      </c>
      <c r="F62" s="62">
        <v>14.489243987034667</v>
      </c>
      <c r="G62" s="62">
        <v>6.0469463799117324</v>
      </c>
      <c r="H62" s="62">
        <v>79.463809633053003</v>
      </c>
    </row>
    <row r="63" spans="1:8" s="19" customFormat="1" ht="12.95" customHeight="1" x14ac:dyDescent="0.25">
      <c r="A63" s="37"/>
      <c r="B63" s="38" t="s">
        <v>57</v>
      </c>
      <c r="C63" s="35"/>
      <c r="D63" s="169">
        <v>3798.9002068525861</v>
      </c>
      <c r="E63" s="61">
        <v>100</v>
      </c>
      <c r="F63" s="62">
        <v>10.918086080322167</v>
      </c>
      <c r="G63" s="62">
        <v>6.2451394068222079</v>
      </c>
      <c r="H63" s="62">
        <v>82.836774512855513</v>
      </c>
    </row>
    <row r="64" spans="1:8" s="19" customFormat="1" ht="12.95" customHeight="1" x14ac:dyDescent="0.25">
      <c r="A64" s="37"/>
      <c r="B64" s="38" t="s">
        <v>204</v>
      </c>
      <c r="C64" s="35"/>
      <c r="D64" s="169">
        <v>161.46251086816454</v>
      </c>
      <c r="E64" s="61">
        <v>100</v>
      </c>
      <c r="F64" s="62">
        <v>23.758538995364962</v>
      </c>
      <c r="G64" s="62">
        <v>8.208758648516076</v>
      </c>
      <c r="H64" s="62">
        <v>68.032702356118804</v>
      </c>
    </row>
    <row r="65" spans="1:8" s="19" customFormat="1" ht="12.95" customHeight="1" x14ac:dyDescent="0.25">
      <c r="A65" s="37"/>
      <c r="B65" s="38" t="s">
        <v>58</v>
      </c>
      <c r="C65" s="35"/>
      <c r="D65" s="169">
        <v>5782.2084243882855</v>
      </c>
      <c r="E65" s="61">
        <v>100</v>
      </c>
      <c r="F65" s="62">
        <v>13.509982583797274</v>
      </c>
      <c r="G65" s="62">
        <v>21.54472489616882</v>
      </c>
      <c r="H65" s="62">
        <v>64.945292520033391</v>
      </c>
    </row>
    <row r="66" spans="1:8" s="19" customFormat="1" ht="12.95" customHeight="1" x14ac:dyDescent="0.25">
      <c r="A66" s="37"/>
      <c r="B66" s="38" t="s">
        <v>59</v>
      </c>
      <c r="C66" s="35"/>
      <c r="D66" s="169">
        <v>8203.5145670375932</v>
      </c>
      <c r="E66" s="61">
        <v>100</v>
      </c>
      <c r="F66" s="62">
        <v>15.59516266895335</v>
      </c>
      <c r="G66" s="62">
        <v>28.883319356547631</v>
      </c>
      <c r="H66" s="62">
        <v>55.521517974499133</v>
      </c>
    </row>
    <row r="67" spans="1:8" s="19" customFormat="1" ht="12.95" customHeight="1" x14ac:dyDescent="0.25">
      <c r="A67" s="37"/>
      <c r="B67" s="38" t="s">
        <v>61</v>
      </c>
      <c r="C67" s="35"/>
      <c r="D67" s="169">
        <v>3356.3176088765958</v>
      </c>
      <c r="E67" s="61">
        <v>100</v>
      </c>
      <c r="F67" s="62">
        <v>39.615003567506392</v>
      </c>
      <c r="G67" s="62">
        <v>18.727271347523637</v>
      </c>
      <c r="H67" s="62">
        <v>41.657725084969904</v>
      </c>
    </row>
    <row r="68" spans="1:8" s="19" customFormat="1" ht="12.95" customHeight="1" x14ac:dyDescent="0.25">
      <c r="A68" s="37"/>
      <c r="B68" s="38" t="s">
        <v>60</v>
      </c>
      <c r="C68" s="35"/>
      <c r="D68" s="169">
        <v>1772.0729445072873</v>
      </c>
      <c r="E68" s="61">
        <v>100</v>
      </c>
      <c r="F68" s="62">
        <v>9.7089039096452545</v>
      </c>
      <c r="G68" s="62">
        <v>20.972012092508596</v>
      </c>
      <c r="H68" s="62">
        <v>69.319083997846093</v>
      </c>
    </row>
    <row r="69" spans="1:8" s="19" customFormat="1" ht="12.95" customHeight="1" x14ac:dyDescent="0.25">
      <c r="A69" s="37"/>
      <c r="B69" s="38" t="s">
        <v>117</v>
      </c>
      <c r="C69" s="35"/>
      <c r="D69" s="169">
        <v>123.81377896109839</v>
      </c>
      <c r="E69" s="61">
        <v>100</v>
      </c>
      <c r="F69" s="62">
        <v>8.911105124916288</v>
      </c>
      <c r="G69" s="62">
        <v>2.2603413684568712</v>
      </c>
      <c r="H69" s="62">
        <v>88.828553506626847</v>
      </c>
    </row>
    <row r="70" spans="1:8" s="19" customFormat="1" ht="12.95" customHeight="1" x14ac:dyDescent="0.25">
      <c r="A70" s="37" t="s">
        <v>5</v>
      </c>
      <c r="B70" s="38"/>
      <c r="C70" s="36" t="s">
        <v>19</v>
      </c>
      <c r="D70" s="169"/>
      <c r="E70" s="61"/>
      <c r="F70" s="62"/>
      <c r="G70" s="62"/>
      <c r="H70" s="62"/>
    </row>
    <row r="71" spans="1:8" s="19" customFormat="1" ht="12.95" customHeight="1" x14ac:dyDescent="0.25">
      <c r="A71" s="37"/>
      <c r="B71" s="38" t="s">
        <v>6</v>
      </c>
      <c r="C71" s="35"/>
      <c r="D71" s="169">
        <v>29161.584615271237</v>
      </c>
      <c r="E71" s="61">
        <v>100</v>
      </c>
      <c r="F71" s="62">
        <v>11.924702608583114</v>
      </c>
      <c r="G71" s="62">
        <v>3.2024318502209912</v>
      </c>
      <c r="H71" s="62">
        <v>84.872865541196632</v>
      </c>
    </row>
    <row r="72" spans="1:8" s="19" customFormat="1" ht="12.95" customHeight="1" x14ac:dyDescent="0.25">
      <c r="A72" s="37"/>
      <c r="B72" s="38" t="s">
        <v>7</v>
      </c>
      <c r="C72" s="35"/>
      <c r="D72" s="169">
        <v>2953.3871566191415</v>
      </c>
      <c r="E72" s="61">
        <v>100</v>
      </c>
      <c r="F72" s="62">
        <v>39.979847827754305</v>
      </c>
      <c r="G72" s="62">
        <v>17.920945660267066</v>
      </c>
      <c r="H72" s="62">
        <v>42.099206511978608</v>
      </c>
    </row>
    <row r="73" spans="1:8" s="19" customFormat="1" ht="12.95" customHeight="1" x14ac:dyDescent="0.25">
      <c r="A73" s="37"/>
      <c r="B73" s="38" t="s">
        <v>122</v>
      </c>
      <c r="C73" s="35"/>
      <c r="D73" s="169">
        <v>3081.1634648629743</v>
      </c>
      <c r="E73" s="61">
        <v>100</v>
      </c>
      <c r="F73" s="62">
        <v>10.286576761492903</v>
      </c>
      <c r="G73" s="62">
        <v>1.8804774446003298</v>
      </c>
      <c r="H73" s="62">
        <v>87.832945793906603</v>
      </c>
    </row>
    <row r="74" spans="1:8" s="19" customFormat="1" ht="12.95" customHeight="1" x14ac:dyDescent="0.25">
      <c r="A74" s="37"/>
      <c r="B74" s="38" t="s">
        <v>8</v>
      </c>
      <c r="C74" s="35"/>
      <c r="D74" s="169">
        <v>11087.476840085734</v>
      </c>
      <c r="E74" s="61">
        <v>100</v>
      </c>
      <c r="F74" s="62">
        <v>5.9283859998921944</v>
      </c>
      <c r="G74" s="62">
        <v>16.739407185690855</v>
      </c>
      <c r="H74" s="62">
        <v>77.332206814416352</v>
      </c>
    </row>
    <row r="75" spans="1:8" s="19" customFormat="1" ht="12.95" customHeight="1" x14ac:dyDescent="0.25">
      <c r="A75" s="37"/>
      <c r="B75" s="38" t="s">
        <v>9</v>
      </c>
      <c r="C75" s="35"/>
      <c r="D75" s="169">
        <v>10939.792488822171</v>
      </c>
      <c r="E75" s="61">
        <v>100</v>
      </c>
      <c r="F75" s="62">
        <v>14.963845343713126</v>
      </c>
      <c r="G75" s="62">
        <v>7.7502326940590649</v>
      </c>
      <c r="H75" s="62">
        <v>77.285921962227633</v>
      </c>
    </row>
    <row r="76" spans="1:8" s="19" customFormat="1" ht="12.95" customHeight="1" x14ac:dyDescent="0.25">
      <c r="A76" s="37"/>
      <c r="B76" s="38" t="s">
        <v>10</v>
      </c>
      <c r="C76" s="35"/>
      <c r="D76" s="169">
        <v>7740.2261978848319</v>
      </c>
      <c r="E76" s="61">
        <v>100</v>
      </c>
      <c r="F76" s="62">
        <v>15.165447745399021</v>
      </c>
      <c r="G76" s="62">
        <v>34.974797048244113</v>
      </c>
      <c r="H76" s="62">
        <v>49.859755206357384</v>
      </c>
    </row>
    <row r="77" spans="1:8" s="19" customFormat="1" ht="12.95" customHeight="1" x14ac:dyDescent="0.25">
      <c r="A77" s="37" t="s">
        <v>72</v>
      </c>
      <c r="B77" s="38"/>
      <c r="C77" s="36" t="s">
        <v>19</v>
      </c>
      <c r="D77" s="169"/>
      <c r="E77" s="61"/>
      <c r="F77" s="62"/>
      <c r="G77" s="62"/>
      <c r="H77" s="62"/>
    </row>
    <row r="78" spans="1:8" s="19" customFormat="1" ht="12.95" customHeight="1" x14ac:dyDescent="0.25">
      <c r="A78" s="37"/>
      <c r="B78" s="38" t="s">
        <v>163</v>
      </c>
      <c r="C78" s="35"/>
      <c r="D78" s="169">
        <v>4031.9924900357187</v>
      </c>
      <c r="E78" s="61">
        <v>100</v>
      </c>
      <c r="F78" s="62">
        <v>15.937138131827764</v>
      </c>
      <c r="G78" s="62">
        <v>14.97571451589309</v>
      </c>
      <c r="H78" s="62">
        <v>69.08714735227916</v>
      </c>
    </row>
    <row r="79" spans="1:8" s="19" customFormat="1" ht="12.95" customHeight="1" x14ac:dyDescent="0.25">
      <c r="A79" s="37"/>
      <c r="B79" s="38" t="s">
        <v>124</v>
      </c>
      <c r="C79" s="35"/>
      <c r="D79" s="169">
        <v>15919.945716553977</v>
      </c>
      <c r="E79" s="61">
        <v>100</v>
      </c>
      <c r="F79" s="62">
        <v>11.648184481956394</v>
      </c>
      <c r="G79" s="62">
        <v>9.1699266571954929</v>
      </c>
      <c r="H79" s="62">
        <v>79.181888860848474</v>
      </c>
    </row>
    <row r="80" spans="1:8" s="19" customFormat="1" ht="12.95" customHeight="1" x14ac:dyDescent="0.25">
      <c r="A80" s="37"/>
      <c r="B80" s="38" t="s">
        <v>219</v>
      </c>
      <c r="C80" s="35"/>
      <c r="D80" s="169">
        <v>7173.0949627453201</v>
      </c>
      <c r="E80" s="61">
        <v>100</v>
      </c>
      <c r="F80" s="62">
        <v>11.931487526130946</v>
      </c>
      <c r="G80" s="62">
        <v>14.369890652167044</v>
      </c>
      <c r="H80" s="62">
        <v>73.698621821701906</v>
      </c>
    </row>
    <row r="81" spans="1:8" s="19" customFormat="1" ht="12.95" customHeight="1" x14ac:dyDescent="0.25">
      <c r="A81" s="37"/>
      <c r="B81" s="38" t="s">
        <v>214</v>
      </c>
      <c r="C81" s="35"/>
      <c r="D81" s="169">
        <v>5519.7128852649694</v>
      </c>
      <c r="E81" s="61">
        <v>100</v>
      </c>
      <c r="F81" s="62">
        <v>11.476383139959921</v>
      </c>
      <c r="G81" s="62">
        <v>14.790253458531422</v>
      </c>
      <c r="H81" s="62">
        <v>73.733363401508569</v>
      </c>
    </row>
    <row r="82" spans="1:8" s="19" customFormat="1" ht="12.95" customHeight="1" x14ac:dyDescent="0.25">
      <c r="A82" s="37"/>
      <c r="B82" s="38" t="s">
        <v>216</v>
      </c>
      <c r="C82" s="35"/>
      <c r="D82" s="169">
        <v>3504.2134938782101</v>
      </c>
      <c r="E82" s="61">
        <v>100</v>
      </c>
      <c r="F82" s="62">
        <v>16.341717435405958</v>
      </c>
      <c r="G82" s="62">
        <v>10.495251063219358</v>
      </c>
      <c r="H82" s="62">
        <v>73.163031501374391</v>
      </c>
    </row>
    <row r="83" spans="1:8" s="19" customFormat="1" ht="12.95" customHeight="1" x14ac:dyDescent="0.25">
      <c r="A83" s="37"/>
      <c r="B83" s="38" t="s">
        <v>218</v>
      </c>
      <c r="C83" s="35"/>
      <c r="D83" s="169">
        <v>6018.5520525365464</v>
      </c>
      <c r="E83" s="61">
        <v>100</v>
      </c>
      <c r="F83" s="62">
        <v>14.610623439681337</v>
      </c>
      <c r="G83" s="62">
        <v>11.93917161278128</v>
      </c>
      <c r="H83" s="62">
        <v>73.450204947537514</v>
      </c>
    </row>
    <row r="84" spans="1:8" s="19" customFormat="1" ht="12.95" customHeight="1" x14ac:dyDescent="0.25">
      <c r="A84" s="37"/>
      <c r="B84" s="38" t="s">
        <v>125</v>
      </c>
      <c r="C84" s="35"/>
      <c r="D84" s="169">
        <v>14232.455247742466</v>
      </c>
      <c r="E84" s="61">
        <v>100</v>
      </c>
      <c r="F84" s="62">
        <v>13.873119388139864</v>
      </c>
      <c r="G84" s="62">
        <v>6.9016724310407271</v>
      </c>
      <c r="H84" s="62">
        <v>79.22520818081874</v>
      </c>
    </row>
    <row r="85" spans="1:8" s="19" customFormat="1" ht="12.95" customHeight="1" x14ac:dyDescent="0.25">
      <c r="A85" s="37"/>
      <c r="B85" s="38" t="s">
        <v>158</v>
      </c>
      <c r="C85" s="35"/>
      <c r="D85" s="169">
        <v>6582.6581818291206</v>
      </c>
      <c r="E85" s="61">
        <v>100</v>
      </c>
      <c r="F85" s="62">
        <v>12.484320691172137</v>
      </c>
      <c r="G85" s="62">
        <v>10.430878478945814</v>
      </c>
      <c r="H85" s="62">
        <v>77.084800829882326</v>
      </c>
    </row>
    <row r="86" spans="1:8" s="19" customFormat="1" ht="12.95" customHeight="1" x14ac:dyDescent="0.25">
      <c r="A86" s="37"/>
      <c r="B86" s="38" t="s">
        <v>159</v>
      </c>
      <c r="C86" s="35"/>
      <c r="D86" s="169">
        <v>1122.6620281066191</v>
      </c>
      <c r="E86" s="61">
        <v>100</v>
      </c>
      <c r="F86" s="62">
        <v>12.677884609813932</v>
      </c>
      <c r="G86" s="62">
        <v>7.962664716845234</v>
      </c>
      <c r="H86" s="62">
        <v>79.359450673340916</v>
      </c>
    </row>
    <row r="87" spans="1:8" s="19" customFormat="1" ht="12.95" customHeight="1" x14ac:dyDescent="0.25">
      <c r="A87" s="37"/>
      <c r="B87" s="38" t="s">
        <v>75</v>
      </c>
      <c r="C87" s="35"/>
      <c r="D87" s="169">
        <v>858.34370485322324</v>
      </c>
      <c r="E87" s="61">
        <v>100</v>
      </c>
      <c r="F87" s="62">
        <v>7.7357001076266583</v>
      </c>
      <c r="G87" s="62">
        <v>20.575322779646552</v>
      </c>
      <c r="H87" s="62">
        <v>71.68897711272669</v>
      </c>
    </row>
    <row r="88" spans="1:8" s="52" customFormat="1" ht="12.95" customHeight="1" x14ac:dyDescent="0.25">
      <c r="A88" s="63"/>
      <c r="B88" s="64"/>
      <c r="C88" s="142"/>
      <c r="D88" s="171"/>
      <c r="E88" s="67"/>
      <c r="F88" s="69"/>
      <c r="G88" s="69"/>
      <c r="H88" s="69"/>
    </row>
    <row r="89" spans="1:8" s="73" customFormat="1" ht="12.95" customHeight="1" x14ac:dyDescent="0.25">
      <c r="A89" s="30"/>
      <c r="B89" s="70"/>
      <c r="C89" s="143"/>
      <c r="D89" s="172"/>
      <c r="E89" s="110"/>
      <c r="F89" s="71"/>
      <c r="G89" s="71"/>
      <c r="H89" s="71"/>
    </row>
    <row r="90" spans="1:8" s="19" customFormat="1" ht="12.95" customHeight="1" x14ac:dyDescent="0.25">
      <c r="A90" s="37" t="s">
        <v>62</v>
      </c>
      <c r="B90" s="38"/>
      <c r="C90" s="36" t="s">
        <v>19</v>
      </c>
      <c r="D90" s="169"/>
      <c r="E90" s="61"/>
      <c r="F90" s="62"/>
      <c r="G90" s="62"/>
      <c r="H90" s="62"/>
    </row>
    <row r="91" spans="1:8" s="19" customFormat="1" ht="12.95" customHeight="1" x14ac:dyDescent="0.25">
      <c r="A91" s="37"/>
      <c r="B91" s="38" t="s">
        <v>129</v>
      </c>
      <c r="C91" s="35"/>
      <c r="D91" s="169">
        <v>48497.790289866956</v>
      </c>
      <c r="E91" s="61">
        <v>100</v>
      </c>
      <c r="F91" s="62">
        <v>14.491191605690895</v>
      </c>
      <c r="G91" s="62">
        <v>11.037128104880075</v>
      </c>
      <c r="H91" s="62">
        <v>74.471680289429628</v>
      </c>
    </row>
    <row r="92" spans="1:8" s="19" customFormat="1" ht="12.95" customHeight="1" x14ac:dyDescent="0.25">
      <c r="A92" s="37"/>
      <c r="B92" s="38" t="s">
        <v>130</v>
      </c>
      <c r="C92" s="35"/>
      <c r="D92" s="169">
        <v>77784.885719112513</v>
      </c>
      <c r="E92" s="61">
        <v>100</v>
      </c>
      <c r="F92" s="62">
        <v>14.682996215285868</v>
      </c>
      <c r="G92" s="62">
        <v>11.201490975192632</v>
      </c>
      <c r="H92" s="62">
        <v>74.115512809526706</v>
      </c>
    </row>
    <row r="93" spans="1:8" s="19" customFormat="1" ht="12.95" customHeight="1" x14ac:dyDescent="0.25">
      <c r="A93" s="37"/>
      <c r="B93" s="38" t="s">
        <v>131</v>
      </c>
      <c r="C93" s="35"/>
      <c r="D93" s="169">
        <v>77234.459131977128</v>
      </c>
      <c r="E93" s="61">
        <v>100</v>
      </c>
      <c r="F93" s="62">
        <v>15.044893136332293</v>
      </c>
      <c r="G93" s="62">
        <v>9.8677137906150794</v>
      </c>
      <c r="H93" s="62">
        <v>75.087393073056589</v>
      </c>
    </row>
    <row r="94" spans="1:8" s="19" customFormat="1" ht="12.95" customHeight="1" x14ac:dyDescent="0.25">
      <c r="A94" s="37"/>
      <c r="B94" s="38" t="s">
        <v>132</v>
      </c>
      <c r="C94" s="35"/>
      <c r="D94" s="169">
        <v>77750.08099939044</v>
      </c>
      <c r="E94" s="61">
        <v>100</v>
      </c>
      <c r="F94" s="62">
        <v>15.384891892019533</v>
      </c>
      <c r="G94" s="62">
        <v>11.136885539254971</v>
      </c>
      <c r="H94" s="62">
        <v>73.478222568728071</v>
      </c>
    </row>
    <row r="95" spans="1:8" s="19" customFormat="1" ht="12.95" customHeight="1" x14ac:dyDescent="0.25">
      <c r="A95" s="37"/>
      <c r="B95" s="38" t="s">
        <v>133</v>
      </c>
      <c r="C95" s="35"/>
      <c r="D95" s="169">
        <v>73755.520970523721</v>
      </c>
      <c r="E95" s="61">
        <v>100</v>
      </c>
      <c r="F95" s="62">
        <v>15.554885033703009</v>
      </c>
      <c r="G95" s="62">
        <v>11.108611995375062</v>
      </c>
      <c r="H95" s="62">
        <v>73.336502970919923</v>
      </c>
    </row>
    <row r="96" spans="1:8" s="19" customFormat="1" ht="12.95" customHeight="1" x14ac:dyDescent="0.25">
      <c r="A96" s="37"/>
      <c r="B96" s="38" t="s">
        <v>134</v>
      </c>
      <c r="C96" s="35"/>
      <c r="D96" s="169">
        <v>76196.473665121623</v>
      </c>
      <c r="E96" s="61">
        <v>100</v>
      </c>
      <c r="F96" s="62">
        <v>15.752530026905433</v>
      </c>
      <c r="G96" s="62">
        <v>10.349887411139012</v>
      </c>
      <c r="H96" s="62">
        <v>73.897582561958345</v>
      </c>
    </row>
    <row r="97" spans="1:8" s="19" customFormat="1" ht="12.95" customHeight="1" x14ac:dyDescent="0.25">
      <c r="A97" s="37"/>
      <c r="B97" s="38" t="s">
        <v>135</v>
      </c>
      <c r="C97" s="35"/>
      <c r="D97" s="169">
        <v>75822.846093232554</v>
      </c>
      <c r="E97" s="61">
        <v>100</v>
      </c>
      <c r="F97" s="62">
        <v>15.454553074462472</v>
      </c>
      <c r="G97" s="62">
        <v>10.202881570346827</v>
      </c>
      <c r="H97" s="62">
        <v>74.342565355191283</v>
      </c>
    </row>
    <row r="98" spans="1:8" s="19" customFormat="1" ht="12.95" customHeight="1" x14ac:dyDescent="0.25">
      <c r="A98" s="37"/>
      <c r="B98" s="38" t="s">
        <v>136</v>
      </c>
      <c r="C98" s="35"/>
      <c r="D98" s="169">
        <v>77453.15719957024</v>
      </c>
      <c r="E98" s="61">
        <v>100</v>
      </c>
      <c r="F98" s="62">
        <v>15.834465559309239</v>
      </c>
      <c r="G98" s="62">
        <v>10.350293227913347</v>
      </c>
      <c r="H98" s="62">
        <v>73.815241212779128</v>
      </c>
    </row>
    <row r="99" spans="1:8" s="19" customFormat="1" ht="12.95" customHeight="1" x14ac:dyDescent="0.25">
      <c r="A99" s="37"/>
      <c r="B99" s="38" t="s">
        <v>192</v>
      </c>
      <c r="C99" s="35"/>
      <c r="D99" s="169">
        <v>71957.394627974936</v>
      </c>
      <c r="E99" s="61">
        <v>100</v>
      </c>
      <c r="F99" s="62">
        <v>13.658704423157845</v>
      </c>
      <c r="G99" s="62">
        <v>11.620257583109057</v>
      </c>
      <c r="H99" s="62">
        <v>74.721037993733688</v>
      </c>
    </row>
    <row r="100" spans="1:8" s="19" customFormat="1" ht="12.95" customHeight="1" x14ac:dyDescent="0.25">
      <c r="A100" s="37"/>
      <c r="B100" s="38" t="s">
        <v>194</v>
      </c>
      <c r="C100" s="35"/>
      <c r="D100" s="169">
        <v>70595.873048734647</v>
      </c>
      <c r="E100" s="61">
        <v>100</v>
      </c>
      <c r="F100" s="62">
        <v>12.519031657733013</v>
      </c>
      <c r="G100" s="62">
        <v>12.747024977600358</v>
      </c>
      <c r="H100" s="62">
        <v>74.733943364664555</v>
      </c>
    </row>
    <row r="101" spans="1:8" s="19" customFormat="1" ht="12.95" customHeight="1" x14ac:dyDescent="0.25">
      <c r="A101" s="37"/>
      <c r="B101" s="38" t="s">
        <v>205</v>
      </c>
      <c r="C101" s="35"/>
      <c r="D101" s="169">
        <f t="shared" ref="D101:H101" si="0">D$9</f>
        <v>64963.630763549656</v>
      </c>
      <c r="E101" s="61">
        <f t="shared" si="0"/>
        <v>100</v>
      </c>
      <c r="F101" s="62">
        <f t="shared" si="0"/>
        <v>12.996964749536808</v>
      </c>
      <c r="G101" s="62">
        <f t="shared" si="0"/>
        <v>10.670679819666768</v>
      </c>
      <c r="H101" s="62">
        <f t="shared" si="0"/>
        <v>76.332355430795786</v>
      </c>
    </row>
    <row r="102" spans="1:8" s="23" customFormat="1" ht="3" customHeight="1" x14ac:dyDescent="0.25">
      <c r="A102" s="39"/>
      <c r="B102" s="40"/>
      <c r="C102" s="41"/>
      <c r="D102" s="164"/>
      <c r="E102" s="165"/>
      <c r="F102" s="166"/>
      <c r="G102" s="166"/>
      <c r="H102" s="166"/>
    </row>
  </sheetData>
  <mergeCells count="9">
    <mergeCell ref="A1:H1"/>
    <mergeCell ref="A3:H3"/>
    <mergeCell ref="A5:C7"/>
    <mergeCell ref="E5:E7"/>
    <mergeCell ref="F6:F7"/>
    <mergeCell ref="G6:G7"/>
    <mergeCell ref="H6:H7"/>
    <mergeCell ref="A2:H2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8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ECEF-9BAE-4F07-BE79-E0242939E53B}">
  <sheetPr codeName="工作表63"/>
  <dimension ref="A1:M102"/>
  <sheetViews>
    <sheetView showGridLines="0" view="pageBreakPreview" zoomScale="55" zoomScaleNormal="100" zoomScaleSheetLayoutView="55" workbookViewId="0">
      <selection activeCell="R25" sqref="R25"/>
    </sheetView>
  </sheetViews>
  <sheetFormatPr defaultColWidth="9" defaultRowHeight="11.1" customHeight="1" x14ac:dyDescent="0.25"/>
  <cols>
    <col min="1" max="1" width="1.25" style="18" customWidth="1"/>
    <col min="2" max="2" width="13.75" style="44" customWidth="1"/>
    <col min="3" max="3" width="1.5" style="48" customWidth="1"/>
    <col min="4" max="4" width="6.625" style="46" customWidth="1"/>
    <col min="5" max="8" width="6.625" style="47" customWidth="1"/>
    <col min="9" max="9" width="6.625" style="46" customWidth="1"/>
    <col min="10" max="13" width="6.625" style="47" customWidth="1"/>
    <col min="14" max="16384" width="9" style="46"/>
  </cols>
  <sheetData>
    <row r="1" spans="1:13" s="14" customFormat="1" ht="22.15" customHeight="1" x14ac:dyDescent="0.25">
      <c r="A1" s="255" t="s">
        <v>248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3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3" spans="1:13" s="19" customFormat="1" ht="13.5" customHeight="1" x14ac:dyDescent="0.25">
      <c r="A3" s="257" t="s">
        <v>179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5"/>
      <c r="J4" s="26"/>
      <c r="K4" s="26"/>
      <c r="L4" s="26"/>
      <c r="M4" s="27" t="s">
        <v>160</v>
      </c>
    </row>
    <row r="5" spans="1:13" s="122" customFormat="1" ht="19.5" customHeight="1" x14ac:dyDescent="0.25">
      <c r="A5" s="258" t="s">
        <v>21</v>
      </c>
      <c r="B5" s="258"/>
      <c r="C5" s="259"/>
      <c r="D5" s="279" t="s">
        <v>313</v>
      </c>
      <c r="E5" s="280"/>
      <c r="F5" s="280"/>
      <c r="G5" s="280"/>
      <c r="H5" s="281"/>
      <c r="I5" s="279" t="s">
        <v>314</v>
      </c>
      <c r="J5" s="280"/>
      <c r="K5" s="280"/>
      <c r="L5" s="280"/>
      <c r="M5" s="280"/>
    </row>
    <row r="6" spans="1:13" s="19" customFormat="1" ht="9" customHeight="1" x14ac:dyDescent="0.25">
      <c r="A6" s="260"/>
      <c r="B6" s="260"/>
      <c r="C6" s="261"/>
      <c r="D6" s="278" t="s">
        <v>312</v>
      </c>
      <c r="E6" s="265" t="s">
        <v>81</v>
      </c>
      <c r="F6" s="52"/>
      <c r="G6" s="52"/>
      <c r="H6" s="153"/>
      <c r="I6" s="278" t="s">
        <v>312</v>
      </c>
      <c r="J6" s="265" t="s">
        <v>81</v>
      </c>
      <c r="K6" s="52"/>
      <c r="L6" s="52"/>
      <c r="M6" s="52"/>
    </row>
    <row r="7" spans="1:13" s="19" customFormat="1" ht="9.75" customHeight="1" x14ac:dyDescent="0.25">
      <c r="A7" s="260"/>
      <c r="B7" s="260"/>
      <c r="C7" s="261"/>
      <c r="D7" s="261"/>
      <c r="E7" s="265"/>
      <c r="F7" s="282" t="s">
        <v>177</v>
      </c>
      <c r="G7" s="270" t="s">
        <v>11</v>
      </c>
      <c r="H7" s="270" t="s">
        <v>90</v>
      </c>
      <c r="I7" s="261"/>
      <c r="J7" s="265"/>
      <c r="K7" s="282" t="s">
        <v>177</v>
      </c>
      <c r="L7" s="270" t="s">
        <v>11</v>
      </c>
      <c r="M7" s="272" t="s">
        <v>90</v>
      </c>
    </row>
    <row r="8" spans="1:13" s="19" customFormat="1" ht="35.25" customHeight="1" x14ac:dyDescent="0.25">
      <c r="A8" s="262"/>
      <c r="B8" s="262"/>
      <c r="C8" s="263"/>
      <c r="D8" s="263"/>
      <c r="E8" s="266"/>
      <c r="F8" s="271"/>
      <c r="G8" s="271"/>
      <c r="H8" s="271"/>
      <c r="I8" s="263"/>
      <c r="J8" s="266"/>
      <c r="K8" s="271"/>
      <c r="L8" s="271"/>
      <c r="M8" s="273"/>
    </row>
    <row r="9" spans="1:13" s="19" customFormat="1" ht="14.1" customHeight="1" x14ac:dyDescent="0.25">
      <c r="A9" s="33" t="s">
        <v>22</v>
      </c>
      <c r="B9" s="34"/>
      <c r="C9" s="35"/>
      <c r="D9" s="55">
        <v>32403.020214197149</v>
      </c>
      <c r="E9" s="57">
        <v>100</v>
      </c>
      <c r="F9" s="58">
        <v>9.0717974908804813</v>
      </c>
      <c r="G9" s="58">
        <v>9.4014272367994227</v>
      </c>
      <c r="H9" s="58">
        <v>81.526775272320464</v>
      </c>
      <c r="I9" s="154">
        <v>32560.610549349527</v>
      </c>
      <c r="J9" s="57">
        <v>100</v>
      </c>
      <c r="K9" s="58">
        <v>16.903134562710775</v>
      </c>
      <c r="L9" s="58">
        <v>11.933789337753632</v>
      </c>
      <c r="M9" s="58">
        <v>71.163076099537037</v>
      </c>
    </row>
    <row r="10" spans="1:13" s="19" customFormat="1" ht="14.1" customHeight="1" x14ac:dyDescent="0.25">
      <c r="A10" s="37" t="s">
        <v>23</v>
      </c>
      <c r="B10" s="38"/>
      <c r="C10" s="36"/>
      <c r="D10" s="36"/>
      <c r="E10" s="61"/>
      <c r="F10" s="62"/>
      <c r="G10" s="62"/>
      <c r="H10" s="62"/>
      <c r="I10" s="156"/>
      <c r="J10" s="61"/>
      <c r="K10" s="62"/>
      <c r="L10" s="62"/>
      <c r="M10" s="62"/>
    </row>
    <row r="11" spans="1:13" s="19" customFormat="1" ht="14.1" customHeight="1" x14ac:dyDescent="0.25">
      <c r="A11" s="37"/>
      <c r="B11" s="38" t="s">
        <v>24</v>
      </c>
      <c r="C11" s="35"/>
      <c r="D11" s="36">
        <v>5286.7394034440595</v>
      </c>
      <c r="E11" s="61">
        <v>100</v>
      </c>
      <c r="F11" s="62">
        <v>15.161266869238679</v>
      </c>
      <c r="G11" s="62">
        <v>8.3017100334533716</v>
      </c>
      <c r="H11" s="62">
        <v>76.537023097308534</v>
      </c>
      <c r="I11" s="156">
        <v>4936.9574944751557</v>
      </c>
      <c r="J11" s="61">
        <v>100</v>
      </c>
      <c r="K11" s="62">
        <v>38.870451205694401</v>
      </c>
      <c r="L11" s="62">
        <v>15.226210094194901</v>
      </c>
      <c r="M11" s="62">
        <v>45.90333870011041</v>
      </c>
    </row>
    <row r="12" spans="1:13" s="19" customFormat="1" ht="14.1" customHeight="1" x14ac:dyDescent="0.25">
      <c r="A12" s="37"/>
      <c r="B12" s="38" t="s">
        <v>25</v>
      </c>
      <c r="C12" s="35"/>
      <c r="D12" s="36">
        <v>3149.9182790777199</v>
      </c>
      <c r="E12" s="61">
        <v>100</v>
      </c>
      <c r="F12" s="62">
        <v>26.686562404074689</v>
      </c>
      <c r="G12" s="62">
        <v>15.4813554554401</v>
      </c>
      <c r="H12" s="62">
        <v>57.83208214048512</v>
      </c>
      <c r="I12" s="156">
        <v>3561.8470896928698</v>
      </c>
      <c r="J12" s="61">
        <v>100</v>
      </c>
      <c r="K12" s="62">
        <v>47.694595753387567</v>
      </c>
      <c r="L12" s="62">
        <v>23.489433930207003</v>
      </c>
      <c r="M12" s="62">
        <v>28.815970316404936</v>
      </c>
    </row>
    <row r="13" spans="1:13" s="19" customFormat="1" ht="14.1" customHeight="1" x14ac:dyDescent="0.25">
      <c r="A13" s="37"/>
      <c r="B13" s="38" t="s">
        <v>26</v>
      </c>
      <c r="C13" s="35"/>
      <c r="D13" s="36">
        <v>3284.6067345992096</v>
      </c>
      <c r="E13" s="61">
        <v>100</v>
      </c>
      <c r="F13" s="62">
        <v>5.7055590560637732</v>
      </c>
      <c r="G13" s="62">
        <v>8.5812375084312382</v>
      </c>
      <c r="H13" s="62">
        <v>85.713203435505235</v>
      </c>
      <c r="I13" s="156">
        <v>3423.4155889034287</v>
      </c>
      <c r="J13" s="61">
        <v>100</v>
      </c>
      <c r="K13" s="62">
        <v>15.103609221297289</v>
      </c>
      <c r="L13" s="62">
        <v>13.89861075858728</v>
      </c>
      <c r="M13" s="62">
        <v>70.997780020115272</v>
      </c>
    </row>
    <row r="14" spans="1:13" s="19" customFormat="1" ht="14.1" customHeight="1" x14ac:dyDescent="0.25">
      <c r="A14" s="37"/>
      <c r="B14" s="38" t="s">
        <v>27</v>
      </c>
      <c r="C14" s="35"/>
      <c r="D14" s="36">
        <v>3590.9902398140907</v>
      </c>
      <c r="E14" s="61">
        <v>100</v>
      </c>
      <c r="F14" s="62">
        <v>6.1072745933682926</v>
      </c>
      <c r="G14" s="62">
        <v>8.3605461825820147</v>
      </c>
      <c r="H14" s="62">
        <v>85.532179224049585</v>
      </c>
      <c r="I14" s="156">
        <v>3447.8409073652347</v>
      </c>
      <c r="J14" s="61">
        <v>100</v>
      </c>
      <c r="K14" s="62">
        <v>8.6830237946534936</v>
      </c>
      <c r="L14" s="62">
        <v>9.6380852649852713</v>
      </c>
      <c r="M14" s="62">
        <v>81.678890940361285</v>
      </c>
    </row>
    <row r="15" spans="1:13" s="19" customFormat="1" ht="14.1" customHeight="1" x14ac:dyDescent="0.25">
      <c r="A15" s="37"/>
      <c r="B15" s="38" t="s">
        <v>28</v>
      </c>
      <c r="C15" s="35"/>
      <c r="D15" s="36">
        <v>2898.3070683746382</v>
      </c>
      <c r="E15" s="61">
        <v>100</v>
      </c>
      <c r="F15" s="62">
        <v>2.9028918008181845</v>
      </c>
      <c r="G15" s="62">
        <v>8.5279933065100995</v>
      </c>
      <c r="H15" s="62">
        <v>88.569114892671976</v>
      </c>
      <c r="I15" s="156">
        <v>3006.9104673062648</v>
      </c>
      <c r="J15" s="61">
        <v>100</v>
      </c>
      <c r="K15" s="62">
        <v>4.8827039257071831</v>
      </c>
      <c r="L15" s="62">
        <v>9.2771732829657374</v>
      </c>
      <c r="M15" s="62">
        <v>85.840122791327033</v>
      </c>
    </row>
    <row r="16" spans="1:13" s="19" customFormat="1" ht="14.1" customHeight="1" x14ac:dyDescent="0.25">
      <c r="A16" s="37"/>
      <c r="B16" s="38" t="s">
        <v>29</v>
      </c>
      <c r="C16" s="35"/>
      <c r="D16" s="36">
        <v>4121.2515334862892</v>
      </c>
      <c r="E16" s="61">
        <v>100</v>
      </c>
      <c r="F16" s="62">
        <v>7.9031063071297627</v>
      </c>
      <c r="G16" s="62">
        <v>8.9797424207678098</v>
      </c>
      <c r="H16" s="62">
        <v>83.117151272102433</v>
      </c>
      <c r="I16" s="156">
        <v>4306.1098272094951</v>
      </c>
      <c r="J16" s="61">
        <v>100</v>
      </c>
      <c r="K16" s="62">
        <v>6.8923433346238561</v>
      </c>
      <c r="L16" s="62">
        <v>7.8551599260501623</v>
      </c>
      <c r="M16" s="62">
        <v>85.252496739325508</v>
      </c>
    </row>
    <row r="17" spans="1:13" s="19" customFormat="1" ht="14.1" customHeight="1" x14ac:dyDescent="0.25">
      <c r="A17" s="37"/>
      <c r="B17" s="38" t="s">
        <v>30</v>
      </c>
      <c r="C17" s="35"/>
      <c r="D17" s="36">
        <v>647.41951358310143</v>
      </c>
      <c r="E17" s="61">
        <v>100</v>
      </c>
      <c r="F17" s="62">
        <v>5.0917534784147271</v>
      </c>
      <c r="G17" s="62">
        <v>11.644675262205313</v>
      </c>
      <c r="H17" s="62">
        <v>83.263571259380669</v>
      </c>
      <c r="I17" s="156">
        <v>746.55365908305214</v>
      </c>
      <c r="J17" s="61">
        <v>100</v>
      </c>
      <c r="K17" s="62">
        <v>8.5045555773774755</v>
      </c>
      <c r="L17" s="62">
        <v>6.4372479899871058</v>
      </c>
      <c r="M17" s="62">
        <v>85.058196432635555</v>
      </c>
    </row>
    <row r="18" spans="1:13" s="19" customFormat="1" ht="14.1" customHeight="1" x14ac:dyDescent="0.25">
      <c r="A18" s="37"/>
      <c r="B18" s="38" t="s">
        <v>31</v>
      </c>
      <c r="C18" s="35"/>
      <c r="D18" s="36">
        <v>809.06838474997119</v>
      </c>
      <c r="E18" s="61">
        <v>100</v>
      </c>
      <c r="F18" s="62">
        <v>6.2427822878067936</v>
      </c>
      <c r="G18" s="62">
        <v>11.341100678755346</v>
      </c>
      <c r="H18" s="62">
        <v>82.416117033437843</v>
      </c>
      <c r="I18" s="156">
        <v>858.81874521408986</v>
      </c>
      <c r="J18" s="61">
        <v>100</v>
      </c>
      <c r="K18" s="62">
        <v>5.588984743233131</v>
      </c>
      <c r="L18" s="62">
        <v>7.9540794269222737</v>
      </c>
      <c r="M18" s="62">
        <v>86.456935829844554</v>
      </c>
    </row>
    <row r="19" spans="1:13" s="19" customFormat="1" ht="14.1" customHeight="1" x14ac:dyDescent="0.25">
      <c r="A19" s="37"/>
      <c r="B19" s="38" t="s">
        <v>32</v>
      </c>
      <c r="C19" s="35"/>
      <c r="D19" s="36">
        <v>787.11793995676248</v>
      </c>
      <c r="E19" s="61">
        <v>100</v>
      </c>
      <c r="F19" s="62">
        <v>7.8246325675514159</v>
      </c>
      <c r="G19" s="62">
        <v>7.7204909604268908</v>
      </c>
      <c r="H19" s="62">
        <v>84.45487647202178</v>
      </c>
      <c r="I19" s="156">
        <v>776.84370511007569</v>
      </c>
      <c r="J19" s="61">
        <v>100</v>
      </c>
      <c r="K19" s="62">
        <v>4.5903220239330347</v>
      </c>
      <c r="L19" s="62">
        <v>10.273060053100476</v>
      </c>
      <c r="M19" s="62">
        <v>85.136617922966565</v>
      </c>
    </row>
    <row r="20" spans="1:13" s="19" customFormat="1" ht="14.1" customHeight="1" x14ac:dyDescent="0.25">
      <c r="A20" s="37"/>
      <c r="B20" s="38" t="s">
        <v>33</v>
      </c>
      <c r="C20" s="35"/>
      <c r="D20" s="36">
        <v>1571.0136419815526</v>
      </c>
      <c r="E20" s="61">
        <v>100</v>
      </c>
      <c r="F20" s="62">
        <v>2.8354066322068312</v>
      </c>
      <c r="G20" s="62">
        <v>7.6864389080106177</v>
      </c>
      <c r="H20" s="62">
        <v>89.478154459782473</v>
      </c>
      <c r="I20" s="156">
        <v>1384.3589581024085</v>
      </c>
      <c r="J20" s="61">
        <v>100</v>
      </c>
      <c r="K20" s="62">
        <v>3.4189359078226889</v>
      </c>
      <c r="L20" s="62">
        <v>6.3402822257504186</v>
      </c>
      <c r="M20" s="62">
        <v>90.240781866426801</v>
      </c>
    </row>
    <row r="21" spans="1:13" s="19" customFormat="1" ht="14.1" customHeight="1" x14ac:dyDescent="0.25">
      <c r="A21" s="37"/>
      <c r="B21" s="38" t="s">
        <v>34</v>
      </c>
      <c r="C21" s="35"/>
      <c r="D21" s="36">
        <v>784.45205216493207</v>
      </c>
      <c r="E21" s="61">
        <v>100</v>
      </c>
      <c r="F21" s="62">
        <v>2.7634924500898781</v>
      </c>
      <c r="G21" s="62">
        <v>7.1031053422325634</v>
      </c>
      <c r="H21" s="62">
        <v>90.133402207677506</v>
      </c>
      <c r="I21" s="156">
        <v>679.39726559718861</v>
      </c>
      <c r="J21" s="61">
        <v>100</v>
      </c>
      <c r="K21" s="62">
        <v>3.0253917534392141</v>
      </c>
      <c r="L21" s="62">
        <v>12.000350167587539</v>
      </c>
      <c r="M21" s="62">
        <v>84.974258078973094</v>
      </c>
    </row>
    <row r="22" spans="1:13" s="19" customFormat="1" ht="14.1" customHeight="1" x14ac:dyDescent="0.25">
      <c r="A22" s="37"/>
      <c r="B22" s="38" t="s">
        <v>35</v>
      </c>
      <c r="C22" s="35"/>
      <c r="D22" s="36">
        <v>1014.8604938781172</v>
      </c>
      <c r="E22" s="61">
        <v>100</v>
      </c>
      <c r="F22" s="62">
        <v>3.297645892899427</v>
      </c>
      <c r="G22" s="62">
        <v>11.0501415321027</v>
      </c>
      <c r="H22" s="62">
        <v>85.652212574997819</v>
      </c>
      <c r="I22" s="156">
        <v>984.73017383319245</v>
      </c>
      <c r="J22" s="61">
        <v>100</v>
      </c>
      <c r="K22" s="62">
        <v>3.858065773659265</v>
      </c>
      <c r="L22" s="62">
        <v>7.4355998336495261</v>
      </c>
      <c r="M22" s="62">
        <v>88.706334392691105</v>
      </c>
    </row>
    <row r="23" spans="1:13" s="19" customFormat="1" ht="14.1" customHeight="1" x14ac:dyDescent="0.25">
      <c r="A23" s="37"/>
      <c r="B23" s="38" t="s">
        <v>36</v>
      </c>
      <c r="C23" s="35"/>
      <c r="D23" s="36">
        <v>717.12235356616941</v>
      </c>
      <c r="E23" s="61">
        <v>100</v>
      </c>
      <c r="F23" s="62">
        <v>1.3483980052448785</v>
      </c>
      <c r="G23" s="62">
        <v>8.9540989071615229</v>
      </c>
      <c r="H23" s="62">
        <v>89.697503087593915</v>
      </c>
      <c r="I23" s="156">
        <v>649.37026479703445</v>
      </c>
      <c r="J23" s="61">
        <v>100</v>
      </c>
      <c r="K23" s="62">
        <v>3.3097446408071729</v>
      </c>
      <c r="L23" s="62">
        <v>11.315925358303604</v>
      </c>
      <c r="M23" s="62">
        <v>85.374330000889302</v>
      </c>
    </row>
    <row r="24" spans="1:13" s="19" customFormat="1" ht="14.1" customHeight="1" x14ac:dyDescent="0.25">
      <c r="A24" s="37"/>
      <c r="B24" s="38" t="s">
        <v>37</v>
      </c>
      <c r="C24" s="35"/>
      <c r="D24" s="36">
        <v>998.9648794167249</v>
      </c>
      <c r="E24" s="61">
        <v>100</v>
      </c>
      <c r="F24" s="62">
        <v>3.4576741903040404</v>
      </c>
      <c r="G24" s="62">
        <v>6.115301684868852</v>
      </c>
      <c r="H24" s="62">
        <v>90.427024124827028</v>
      </c>
      <c r="I24" s="156">
        <v>908.21133687728263</v>
      </c>
      <c r="J24" s="61">
        <v>100</v>
      </c>
      <c r="K24" s="62">
        <v>3.5729786474112295</v>
      </c>
      <c r="L24" s="62">
        <v>7.0566525901940835</v>
      </c>
      <c r="M24" s="62">
        <v>89.370368762394605</v>
      </c>
    </row>
    <row r="25" spans="1:13" s="19" customFormat="1" ht="14.1" customHeight="1" x14ac:dyDescent="0.25">
      <c r="A25" s="37"/>
      <c r="B25" s="38" t="s">
        <v>38</v>
      </c>
      <c r="C25" s="35"/>
      <c r="D25" s="36">
        <v>296.87762267261985</v>
      </c>
      <c r="E25" s="61">
        <v>100</v>
      </c>
      <c r="F25" s="62">
        <v>4.6581316177785448</v>
      </c>
      <c r="G25" s="62">
        <v>8.6163920594035055</v>
      </c>
      <c r="H25" s="62">
        <v>86.72547632281767</v>
      </c>
      <c r="I25" s="156">
        <v>262.65200005295844</v>
      </c>
      <c r="J25" s="61">
        <v>100</v>
      </c>
      <c r="K25" s="62">
        <v>4.7448710937616916</v>
      </c>
      <c r="L25" s="62">
        <v>7.3556824168082162</v>
      </c>
      <c r="M25" s="62">
        <v>87.899446489429749</v>
      </c>
    </row>
    <row r="26" spans="1:13" s="19" customFormat="1" ht="14.1" customHeight="1" x14ac:dyDescent="0.25">
      <c r="A26" s="37"/>
      <c r="B26" s="38" t="s">
        <v>39</v>
      </c>
      <c r="C26" s="35"/>
      <c r="D26" s="36">
        <v>464.31513704770725</v>
      </c>
      <c r="E26" s="61">
        <v>100</v>
      </c>
      <c r="F26" s="62">
        <v>4.0850417102603442</v>
      </c>
      <c r="G26" s="62">
        <v>11.943129001198647</v>
      </c>
      <c r="H26" s="62">
        <v>83.971829288540974</v>
      </c>
      <c r="I26" s="156">
        <v>487.83195419792111</v>
      </c>
      <c r="J26" s="61">
        <v>100</v>
      </c>
      <c r="K26" s="62">
        <v>3.9856771254420216</v>
      </c>
      <c r="L26" s="62">
        <v>8.0433765436798303</v>
      </c>
      <c r="M26" s="62">
        <v>87.97094633087822</v>
      </c>
    </row>
    <row r="27" spans="1:13" s="19" customFormat="1" ht="14.1" customHeight="1" x14ac:dyDescent="0.25">
      <c r="A27" s="37"/>
      <c r="B27" s="38" t="s">
        <v>40</v>
      </c>
      <c r="C27" s="35"/>
      <c r="D27" s="36">
        <v>133.07905488967958</v>
      </c>
      <c r="E27" s="61">
        <v>100</v>
      </c>
      <c r="F27" s="62">
        <v>5.3330976500931921</v>
      </c>
      <c r="G27" s="62">
        <v>13.653026812951119</v>
      </c>
      <c r="H27" s="62">
        <v>81.01387553695568</v>
      </c>
      <c r="I27" s="156">
        <v>149.24992190136882</v>
      </c>
      <c r="J27" s="61">
        <v>100</v>
      </c>
      <c r="K27" s="62">
        <v>4.9006741270469858</v>
      </c>
      <c r="L27" s="62">
        <v>9.5133583448137156</v>
      </c>
      <c r="M27" s="62">
        <v>85.585967528138767</v>
      </c>
    </row>
    <row r="28" spans="1:13" s="19" customFormat="1" ht="14.1" customHeight="1" x14ac:dyDescent="0.25">
      <c r="A28" s="37"/>
      <c r="B28" s="38" t="s">
        <v>41</v>
      </c>
      <c r="C28" s="35"/>
      <c r="D28" s="36">
        <v>470.30034856107346</v>
      </c>
      <c r="E28" s="61">
        <v>100</v>
      </c>
      <c r="F28" s="62">
        <v>20.183310481157772</v>
      </c>
      <c r="G28" s="62">
        <v>8.0130161154387309</v>
      </c>
      <c r="H28" s="62">
        <v>71.803673403403437</v>
      </c>
      <c r="I28" s="156">
        <v>531.5828645476455</v>
      </c>
      <c r="J28" s="61">
        <v>100</v>
      </c>
      <c r="K28" s="62">
        <v>36.344998323250657</v>
      </c>
      <c r="L28" s="62">
        <v>8.5826476696967795</v>
      </c>
      <c r="M28" s="62">
        <v>55.072354007052652</v>
      </c>
    </row>
    <row r="29" spans="1:13" s="19" customFormat="1" ht="14.1" customHeight="1" x14ac:dyDescent="0.25">
      <c r="A29" s="37"/>
      <c r="B29" s="38" t="s">
        <v>42</v>
      </c>
      <c r="C29" s="35"/>
      <c r="D29" s="36">
        <v>708.16411914819264</v>
      </c>
      <c r="E29" s="61">
        <v>100</v>
      </c>
      <c r="F29" s="62">
        <v>5.3490769566174219</v>
      </c>
      <c r="G29" s="62">
        <v>7.8957358098357622</v>
      </c>
      <c r="H29" s="62">
        <v>86.755187233547204</v>
      </c>
      <c r="I29" s="156">
        <v>720.07326127612157</v>
      </c>
      <c r="J29" s="61">
        <v>100</v>
      </c>
      <c r="K29" s="62">
        <v>6.5675752019526605</v>
      </c>
      <c r="L29" s="62">
        <v>14.727199514918672</v>
      </c>
      <c r="M29" s="62">
        <v>78.705225283129096</v>
      </c>
    </row>
    <row r="30" spans="1:13" s="19" customFormat="1" ht="14.1" customHeight="1" x14ac:dyDescent="0.25">
      <c r="A30" s="37"/>
      <c r="B30" s="38" t="s">
        <v>43</v>
      </c>
      <c r="C30" s="35"/>
      <c r="D30" s="36">
        <v>426.7015965647135</v>
      </c>
      <c r="E30" s="61">
        <v>100</v>
      </c>
      <c r="F30" s="62">
        <v>3.0544027055193332</v>
      </c>
      <c r="G30" s="62">
        <v>11.480800085807315</v>
      </c>
      <c r="H30" s="62">
        <v>85.464797208673602</v>
      </c>
      <c r="I30" s="156">
        <v>500.09063668281607</v>
      </c>
      <c r="J30" s="61">
        <v>100</v>
      </c>
      <c r="K30" s="62">
        <v>3.6706519211245698</v>
      </c>
      <c r="L30" s="62">
        <v>9.1588807735322977</v>
      </c>
      <c r="M30" s="62">
        <v>87.170467305343834</v>
      </c>
    </row>
    <row r="31" spans="1:13" s="19" customFormat="1" ht="14.1" customHeight="1" x14ac:dyDescent="0.25">
      <c r="A31" s="37"/>
      <c r="B31" s="38" t="s">
        <v>44</v>
      </c>
      <c r="C31" s="35"/>
      <c r="D31" s="36">
        <v>224.86217237378884</v>
      </c>
      <c r="E31" s="61">
        <v>100</v>
      </c>
      <c r="F31" s="62">
        <v>2.4462843321366559</v>
      </c>
      <c r="G31" s="62">
        <v>15.070528359968156</v>
      </c>
      <c r="H31" s="62">
        <v>82.483187307895022</v>
      </c>
      <c r="I31" s="156">
        <v>227.42113615649532</v>
      </c>
      <c r="J31" s="61">
        <v>100</v>
      </c>
      <c r="K31" s="62">
        <v>8.5607044591654695</v>
      </c>
      <c r="L31" s="62">
        <v>10.7761731033956</v>
      </c>
      <c r="M31" s="62">
        <v>80.663122437439014</v>
      </c>
    </row>
    <row r="32" spans="1:13" s="19" customFormat="1" ht="14.1" customHeight="1" x14ac:dyDescent="0.25">
      <c r="A32" s="37"/>
      <c r="B32" s="38" t="s">
        <v>45</v>
      </c>
      <c r="C32" s="35"/>
      <c r="D32" s="36">
        <v>16.887644845793329</v>
      </c>
      <c r="E32" s="61">
        <v>100</v>
      </c>
      <c r="F32" s="62">
        <v>3.8126117572370655</v>
      </c>
      <c r="G32" s="62">
        <v>17.516170889496628</v>
      </c>
      <c r="H32" s="62">
        <v>78.671217353266357</v>
      </c>
      <c r="I32" s="156">
        <v>10.343290967218209</v>
      </c>
      <c r="J32" s="61">
        <v>100</v>
      </c>
      <c r="K32" s="62">
        <v>13.354908226813755</v>
      </c>
      <c r="L32" s="62">
        <v>9.8453218322992733</v>
      </c>
      <c r="M32" s="62">
        <v>76.799769940886932</v>
      </c>
    </row>
    <row r="33" spans="1:13" s="19" customFormat="1" ht="14.1" customHeight="1" x14ac:dyDescent="0.25">
      <c r="A33" s="37" t="s">
        <v>232</v>
      </c>
      <c r="B33" s="38"/>
      <c r="C33" s="36"/>
      <c r="D33" s="157"/>
      <c r="E33" s="158"/>
      <c r="F33" s="159"/>
      <c r="G33" s="159"/>
      <c r="H33" s="62"/>
      <c r="I33" s="156"/>
      <c r="J33" s="61"/>
      <c r="K33" s="62"/>
      <c r="L33" s="62"/>
      <c r="M33" s="62"/>
    </row>
    <row r="34" spans="1:13" s="19" customFormat="1" ht="14.1" customHeight="1" x14ac:dyDescent="0.25">
      <c r="A34" s="37"/>
      <c r="B34" s="38" t="s">
        <v>233</v>
      </c>
      <c r="C34" s="35"/>
      <c r="D34" s="36">
        <v>22331.813258795861</v>
      </c>
      <c r="E34" s="61">
        <v>100</v>
      </c>
      <c r="F34" s="62">
        <v>11.009853826298212</v>
      </c>
      <c r="G34" s="62">
        <v>9.5194747678561065</v>
      </c>
      <c r="H34" s="62">
        <v>79.470671405846772</v>
      </c>
      <c r="I34" s="156">
        <v>22683.081374952319</v>
      </c>
      <c r="J34" s="61">
        <v>100</v>
      </c>
      <c r="K34" s="62">
        <v>21.50445396783352</v>
      </c>
      <c r="L34" s="62">
        <v>13.28607146101343</v>
      </c>
      <c r="M34" s="62">
        <v>65.209474571153606</v>
      </c>
    </row>
    <row r="35" spans="1:13" s="19" customFormat="1" ht="14.1" customHeight="1" x14ac:dyDescent="0.25">
      <c r="A35" s="37"/>
      <c r="B35" s="38" t="s">
        <v>234</v>
      </c>
      <c r="C35" s="35"/>
      <c r="D35" s="36">
        <v>10071.206955401041</v>
      </c>
      <c r="E35" s="61">
        <v>100</v>
      </c>
      <c r="F35" s="62">
        <v>4.7743669684779571</v>
      </c>
      <c r="G35" s="62">
        <v>9.1396695913758492</v>
      </c>
      <c r="H35" s="62">
        <v>86.085963440143956</v>
      </c>
      <c r="I35" s="156">
        <v>9877.5291743964426</v>
      </c>
      <c r="J35" s="61">
        <v>100</v>
      </c>
      <c r="K35" s="62">
        <v>6.336514038918267</v>
      </c>
      <c r="L35" s="62">
        <v>8.8283643977499437</v>
      </c>
      <c r="M35" s="62">
        <v>84.835121563336898</v>
      </c>
    </row>
    <row r="36" spans="1:13" s="19" customFormat="1" ht="14.1" customHeight="1" x14ac:dyDescent="0.25">
      <c r="A36" s="37" t="s">
        <v>49</v>
      </c>
      <c r="B36" s="38"/>
      <c r="C36" s="36"/>
      <c r="D36" s="36"/>
      <c r="E36" s="61"/>
      <c r="F36" s="62"/>
      <c r="G36" s="62"/>
      <c r="H36" s="62"/>
      <c r="I36" s="156"/>
      <c r="J36" s="61"/>
      <c r="K36" s="62"/>
      <c r="L36" s="62"/>
      <c r="M36" s="62"/>
    </row>
    <row r="37" spans="1:13" s="19" customFormat="1" ht="14.1" customHeight="1" x14ac:dyDescent="0.25">
      <c r="A37" s="37"/>
      <c r="B37" s="38" t="s">
        <v>107</v>
      </c>
      <c r="C37" s="35"/>
      <c r="D37" s="36">
        <v>908.80340816383898</v>
      </c>
      <c r="E37" s="61">
        <v>100</v>
      </c>
      <c r="F37" s="62">
        <v>44.513236715623876</v>
      </c>
      <c r="G37" s="62">
        <v>27.922302721859705</v>
      </c>
      <c r="H37" s="62">
        <v>27.564460562516871</v>
      </c>
      <c r="I37" s="156">
        <v>837.07819769260095</v>
      </c>
      <c r="J37" s="61">
        <v>100</v>
      </c>
      <c r="K37" s="62">
        <v>54.109978057891944</v>
      </c>
      <c r="L37" s="62">
        <v>15.287905026124921</v>
      </c>
      <c r="M37" s="62">
        <v>30.602116915982794</v>
      </c>
    </row>
    <row r="38" spans="1:13" s="19" customFormat="1" ht="14.1" customHeight="1" x14ac:dyDescent="0.25">
      <c r="A38" s="37"/>
      <c r="B38" s="38" t="s">
        <v>108</v>
      </c>
      <c r="C38" s="35"/>
      <c r="D38" s="36">
        <v>551.11246248905093</v>
      </c>
      <c r="E38" s="61">
        <v>100</v>
      </c>
      <c r="F38" s="62">
        <v>23.987730156820678</v>
      </c>
      <c r="G38" s="62">
        <v>11.806965965737255</v>
      </c>
      <c r="H38" s="62">
        <v>64.205303877442262</v>
      </c>
      <c r="I38" s="156">
        <v>513.83548738871684</v>
      </c>
      <c r="J38" s="61">
        <v>100</v>
      </c>
      <c r="K38" s="62">
        <v>28.29214172715071</v>
      </c>
      <c r="L38" s="62">
        <v>8.1012397850804021</v>
      </c>
      <c r="M38" s="62">
        <v>63.606618487768991</v>
      </c>
    </row>
    <row r="39" spans="1:13" s="19" customFormat="1" ht="14.1" customHeight="1" x14ac:dyDescent="0.25">
      <c r="A39" s="37"/>
      <c r="B39" s="38" t="s">
        <v>109</v>
      </c>
      <c r="C39" s="35"/>
      <c r="D39" s="36">
        <v>4546.7117116496711</v>
      </c>
      <c r="E39" s="61">
        <v>100</v>
      </c>
      <c r="F39" s="62">
        <v>11.848630942799717</v>
      </c>
      <c r="G39" s="62">
        <v>5.8951857734653315</v>
      </c>
      <c r="H39" s="62">
        <v>82.256183283735425</v>
      </c>
      <c r="I39" s="156">
        <v>4073.7115270547147</v>
      </c>
      <c r="J39" s="61">
        <v>100</v>
      </c>
      <c r="K39" s="62">
        <v>17.041740235335347</v>
      </c>
      <c r="L39" s="62">
        <v>6.9802379975166229</v>
      </c>
      <c r="M39" s="62">
        <v>75.978021767147538</v>
      </c>
    </row>
    <row r="40" spans="1:13" s="19" customFormat="1" ht="14.1" customHeight="1" x14ac:dyDescent="0.25">
      <c r="A40" s="37"/>
      <c r="B40" s="38" t="s">
        <v>110</v>
      </c>
      <c r="C40" s="35"/>
      <c r="D40" s="36">
        <v>5921.1309716128289</v>
      </c>
      <c r="E40" s="61">
        <v>100</v>
      </c>
      <c r="F40" s="62">
        <v>5.1810006036459875</v>
      </c>
      <c r="G40" s="62">
        <v>5.0995358513860465</v>
      </c>
      <c r="H40" s="62">
        <v>89.719463544968136</v>
      </c>
      <c r="I40" s="156">
        <v>5572.3137579604454</v>
      </c>
      <c r="J40" s="61">
        <v>100</v>
      </c>
      <c r="K40" s="62">
        <v>16.890136219745713</v>
      </c>
      <c r="L40" s="62">
        <v>5.3682414827162468</v>
      </c>
      <c r="M40" s="62">
        <v>77.741622297537546</v>
      </c>
    </row>
    <row r="41" spans="1:13" s="19" customFormat="1" ht="14.1" customHeight="1" x14ac:dyDescent="0.25">
      <c r="A41" s="37"/>
      <c r="B41" s="38" t="s">
        <v>111</v>
      </c>
      <c r="C41" s="35"/>
      <c r="D41" s="36">
        <v>7084.4601747620036</v>
      </c>
      <c r="E41" s="61">
        <v>100</v>
      </c>
      <c r="F41" s="62">
        <v>7.528361280785921</v>
      </c>
      <c r="G41" s="62">
        <v>3.9438578867087766</v>
      </c>
      <c r="H41" s="62">
        <v>88.527780832505172</v>
      </c>
      <c r="I41" s="156">
        <v>7389.4155840835128</v>
      </c>
      <c r="J41" s="61">
        <v>100</v>
      </c>
      <c r="K41" s="62">
        <v>11.268807035117138</v>
      </c>
      <c r="L41" s="62">
        <v>7.2913802388707394</v>
      </c>
      <c r="M41" s="62">
        <v>81.439812726011652</v>
      </c>
    </row>
    <row r="42" spans="1:13" s="19" customFormat="1" ht="14.1" customHeight="1" x14ac:dyDescent="0.25">
      <c r="A42" s="37"/>
      <c r="B42" s="38" t="s">
        <v>112</v>
      </c>
      <c r="C42" s="35"/>
      <c r="D42" s="36">
        <v>6049.209137432289</v>
      </c>
      <c r="E42" s="61">
        <v>100</v>
      </c>
      <c r="F42" s="62">
        <v>5.6386122943145756</v>
      </c>
      <c r="G42" s="62">
        <v>5.4545278793706551</v>
      </c>
      <c r="H42" s="62">
        <v>88.906859826315653</v>
      </c>
      <c r="I42" s="156">
        <v>6060.7656950318524</v>
      </c>
      <c r="J42" s="61">
        <v>100</v>
      </c>
      <c r="K42" s="62">
        <v>14.243461329923536</v>
      </c>
      <c r="L42" s="62">
        <v>10.203765467428404</v>
      </c>
      <c r="M42" s="62">
        <v>75.55277320264571</v>
      </c>
    </row>
    <row r="43" spans="1:13" s="19" customFormat="1" ht="14.1" customHeight="1" x14ac:dyDescent="0.25">
      <c r="A43" s="37"/>
      <c r="B43" s="38" t="s">
        <v>113</v>
      </c>
      <c r="C43" s="35"/>
      <c r="D43" s="36">
        <v>2523.195988085889</v>
      </c>
      <c r="E43" s="61">
        <v>100</v>
      </c>
      <c r="F43" s="62">
        <v>6.0398097010897427</v>
      </c>
      <c r="G43" s="62">
        <v>13.217104366246758</v>
      </c>
      <c r="H43" s="62">
        <v>80.743085932663973</v>
      </c>
      <c r="I43" s="156">
        <v>2765.4725503130762</v>
      </c>
      <c r="J43" s="61">
        <v>100</v>
      </c>
      <c r="K43" s="62">
        <v>12.494050332155206</v>
      </c>
      <c r="L43" s="62">
        <v>14.26836150061277</v>
      </c>
      <c r="M43" s="62">
        <v>73.237588167232914</v>
      </c>
    </row>
    <row r="44" spans="1:13" s="19" customFormat="1" ht="14.1" customHeight="1" x14ac:dyDescent="0.25">
      <c r="A44" s="37"/>
      <c r="B44" s="38" t="s">
        <v>114</v>
      </c>
      <c r="C44" s="35"/>
      <c r="D44" s="36">
        <v>4818.3963600013412</v>
      </c>
      <c r="E44" s="61">
        <v>100</v>
      </c>
      <c r="F44" s="62">
        <v>11.009281664137809</v>
      </c>
      <c r="G44" s="62">
        <v>25.209222976689105</v>
      </c>
      <c r="H44" s="62">
        <v>63.781495359172112</v>
      </c>
      <c r="I44" s="156">
        <v>5348.0177498245339</v>
      </c>
      <c r="J44" s="61">
        <v>100</v>
      </c>
      <c r="K44" s="62">
        <v>22.97228478519148</v>
      </c>
      <c r="L44" s="62">
        <v>29.559018596880662</v>
      </c>
      <c r="M44" s="62">
        <v>47.468696617927741</v>
      </c>
    </row>
    <row r="45" spans="1:13" s="19" customFormat="1" ht="5.25" customHeight="1" x14ac:dyDescent="0.25">
      <c r="A45" s="39"/>
      <c r="B45" s="40"/>
      <c r="C45" s="41"/>
      <c r="D45" s="82"/>
      <c r="E45" s="83"/>
      <c r="F45" s="84"/>
      <c r="G45" s="84"/>
      <c r="H45" s="84"/>
      <c r="I45" s="161"/>
      <c r="J45" s="83"/>
      <c r="K45" s="84"/>
      <c r="L45" s="84"/>
      <c r="M45" s="84"/>
    </row>
    <row r="46" spans="1:13" s="19" customFormat="1" ht="14.1" customHeight="1" x14ac:dyDescent="0.25">
      <c r="A46" s="37" t="s">
        <v>50</v>
      </c>
      <c r="B46" s="38"/>
      <c r="C46" s="36"/>
      <c r="D46" s="36"/>
      <c r="E46" s="61"/>
      <c r="F46" s="62"/>
      <c r="G46" s="62"/>
      <c r="H46" s="62"/>
      <c r="I46" s="156"/>
      <c r="J46" s="61"/>
      <c r="K46" s="62"/>
      <c r="L46" s="62"/>
      <c r="M46" s="62"/>
    </row>
    <row r="47" spans="1:13" s="19" customFormat="1" ht="14.1" customHeight="1" x14ac:dyDescent="0.25">
      <c r="A47" s="37"/>
      <c r="B47" s="38" t="s">
        <v>3</v>
      </c>
      <c r="C47" s="35"/>
      <c r="D47" s="36">
        <v>1264.5476518607506</v>
      </c>
      <c r="E47" s="61">
        <v>100</v>
      </c>
      <c r="F47" s="62">
        <v>4.7868993452973037</v>
      </c>
      <c r="G47" s="62">
        <v>31.080508216727903</v>
      </c>
      <c r="H47" s="62">
        <v>64.132592437975603</v>
      </c>
      <c r="I47" s="156">
        <v>2397.9337684228854</v>
      </c>
      <c r="J47" s="61">
        <v>100</v>
      </c>
      <c r="K47" s="62">
        <v>15.246823210008047</v>
      </c>
      <c r="L47" s="62">
        <v>38.71144916970033</v>
      </c>
      <c r="M47" s="62">
        <v>46.041727620292498</v>
      </c>
    </row>
    <row r="48" spans="1:13" s="19" customFormat="1" ht="14.1" customHeight="1" x14ac:dyDescent="0.25">
      <c r="A48" s="37"/>
      <c r="B48" s="38" t="s">
        <v>115</v>
      </c>
      <c r="C48" s="35"/>
      <c r="D48" s="36">
        <v>2604.0505906899762</v>
      </c>
      <c r="E48" s="61">
        <v>100</v>
      </c>
      <c r="F48" s="62">
        <v>5.3189798395687893</v>
      </c>
      <c r="G48" s="62">
        <v>14.830233888467973</v>
      </c>
      <c r="H48" s="62">
        <v>79.850786271963287</v>
      </c>
      <c r="I48" s="156">
        <v>2079.1621679422619</v>
      </c>
      <c r="J48" s="61">
        <v>100</v>
      </c>
      <c r="K48" s="62">
        <v>12.439423929036037</v>
      </c>
      <c r="L48" s="62">
        <v>15.838433382293855</v>
      </c>
      <c r="M48" s="62">
        <v>71.722142688670218</v>
      </c>
    </row>
    <row r="49" spans="1:13" s="19" customFormat="1" ht="14.1" customHeight="1" x14ac:dyDescent="0.25">
      <c r="A49" s="37"/>
      <c r="B49" s="38" t="s">
        <v>116</v>
      </c>
      <c r="C49" s="35"/>
      <c r="D49" s="36">
        <v>8980.8776956768543</v>
      </c>
      <c r="E49" s="61">
        <v>100</v>
      </c>
      <c r="F49" s="62">
        <v>8.5588124061021276</v>
      </c>
      <c r="G49" s="62">
        <v>8.5435441454799577</v>
      </c>
      <c r="H49" s="62">
        <v>82.897643448417853</v>
      </c>
      <c r="I49" s="156">
        <v>8190.0170497940608</v>
      </c>
      <c r="J49" s="61">
        <v>100</v>
      </c>
      <c r="K49" s="62">
        <v>14.640143164811837</v>
      </c>
      <c r="L49" s="62">
        <v>10.680787833663754</v>
      </c>
      <c r="M49" s="62">
        <v>74.679069001523388</v>
      </c>
    </row>
    <row r="50" spans="1:13" s="19" customFormat="1" ht="14.1" customHeight="1" x14ac:dyDescent="0.25">
      <c r="A50" s="37"/>
      <c r="B50" s="38" t="s">
        <v>51</v>
      </c>
      <c r="C50" s="35"/>
      <c r="D50" s="36">
        <v>3521.4712161220164</v>
      </c>
      <c r="E50" s="61">
        <v>100</v>
      </c>
      <c r="F50" s="62">
        <v>5.7365979029293914</v>
      </c>
      <c r="G50" s="62">
        <v>10.590547599959462</v>
      </c>
      <c r="H50" s="62">
        <v>83.672854497110947</v>
      </c>
      <c r="I50" s="156">
        <v>3838.4112986364121</v>
      </c>
      <c r="J50" s="61">
        <v>100</v>
      </c>
      <c r="K50" s="62">
        <v>15.937578346689548</v>
      </c>
      <c r="L50" s="62">
        <v>9.7517170657981644</v>
      </c>
      <c r="M50" s="62">
        <v>74.310704587512092</v>
      </c>
    </row>
    <row r="51" spans="1:13" s="19" customFormat="1" ht="14.1" customHeight="1" x14ac:dyDescent="0.25">
      <c r="A51" s="37"/>
      <c r="B51" s="38" t="s">
        <v>52</v>
      </c>
      <c r="C51" s="35"/>
      <c r="D51" s="36">
        <v>11349.577516576195</v>
      </c>
      <c r="E51" s="61">
        <v>100</v>
      </c>
      <c r="F51" s="62">
        <v>9.4586127770044506</v>
      </c>
      <c r="G51" s="62">
        <v>7.7276584536718369</v>
      </c>
      <c r="H51" s="62">
        <v>82.813728769323646</v>
      </c>
      <c r="I51" s="156">
        <v>12423.748271421544</v>
      </c>
      <c r="J51" s="61">
        <v>100</v>
      </c>
      <c r="K51" s="62">
        <v>18.68251453750382</v>
      </c>
      <c r="L51" s="62">
        <v>8.6520211448326592</v>
      </c>
      <c r="M51" s="62">
        <v>72.665464317661488</v>
      </c>
    </row>
    <row r="52" spans="1:13" s="19" customFormat="1" ht="14.1" customHeight="1" x14ac:dyDescent="0.25">
      <c r="A52" s="37"/>
      <c r="B52" s="38" t="s">
        <v>4</v>
      </c>
      <c r="C52" s="35"/>
      <c r="D52" s="36">
        <v>4659.4121320568147</v>
      </c>
      <c r="E52" s="61">
        <v>100</v>
      </c>
      <c r="F52" s="62">
        <v>14.919432109270256</v>
      </c>
      <c r="G52" s="62">
        <v>5.2925228126901365</v>
      </c>
      <c r="H52" s="62">
        <v>79.788045078039872</v>
      </c>
      <c r="I52" s="156">
        <v>3593.2125391587297</v>
      </c>
      <c r="J52" s="61">
        <v>100</v>
      </c>
      <c r="K52" s="62">
        <v>20.740839914485313</v>
      </c>
      <c r="L52" s="62">
        <v>8.1686360247797882</v>
      </c>
      <c r="M52" s="62">
        <v>71.090524060735433</v>
      </c>
    </row>
    <row r="53" spans="1:13" s="19" customFormat="1" ht="14.1" customHeight="1" x14ac:dyDescent="0.25">
      <c r="A53" s="37"/>
      <c r="B53" s="38" t="s">
        <v>117</v>
      </c>
      <c r="C53" s="35"/>
      <c r="D53" s="36">
        <v>23.083411214359877</v>
      </c>
      <c r="E53" s="61">
        <v>100</v>
      </c>
      <c r="F53" s="62">
        <v>5.0048425184997409</v>
      </c>
      <c r="G53" s="62">
        <v>14.063630078456942</v>
      </c>
      <c r="H53" s="62">
        <v>80.931527403043276</v>
      </c>
      <c r="I53" s="156">
        <v>38.125453973487069</v>
      </c>
      <c r="J53" s="61">
        <v>100</v>
      </c>
      <c r="K53" s="62">
        <v>6.3165942767438503</v>
      </c>
      <c r="L53" s="62">
        <v>27.912867998461952</v>
      </c>
      <c r="M53" s="62">
        <v>65.770537724794238</v>
      </c>
    </row>
    <row r="54" spans="1:13" s="19" customFormat="1" ht="14.1" customHeight="1" x14ac:dyDescent="0.25">
      <c r="A54" s="33" t="s">
        <v>53</v>
      </c>
      <c r="B54" s="34"/>
      <c r="C54" s="36"/>
      <c r="D54" s="36"/>
      <c r="E54" s="61"/>
      <c r="F54" s="62"/>
      <c r="G54" s="62"/>
      <c r="H54" s="62"/>
      <c r="I54" s="156"/>
      <c r="J54" s="61"/>
      <c r="K54" s="62"/>
      <c r="L54" s="62"/>
      <c r="M54" s="62"/>
    </row>
    <row r="55" spans="1:13" s="19" customFormat="1" ht="14.1" customHeight="1" x14ac:dyDescent="0.25">
      <c r="A55" s="37"/>
      <c r="B55" s="38" t="s">
        <v>54</v>
      </c>
      <c r="C55" s="35"/>
      <c r="D55" s="36">
        <v>1290.85762179169</v>
      </c>
      <c r="E55" s="61">
        <v>100</v>
      </c>
      <c r="F55" s="62">
        <v>0.84905490072770484</v>
      </c>
      <c r="G55" s="62">
        <v>8.777587858305548</v>
      </c>
      <c r="H55" s="62">
        <v>90.373357240966811</v>
      </c>
      <c r="I55" s="156">
        <v>567.29917645129922</v>
      </c>
      <c r="J55" s="61">
        <v>100</v>
      </c>
      <c r="K55" s="62">
        <v>1.8778762742539554</v>
      </c>
      <c r="L55" s="62">
        <v>6.1478267524940389</v>
      </c>
      <c r="M55" s="62">
        <v>91.974296973251924</v>
      </c>
    </row>
    <row r="56" spans="1:13" s="19" customFormat="1" ht="14.1" customHeight="1" x14ac:dyDescent="0.25">
      <c r="A56" s="37"/>
      <c r="B56" s="38" t="s">
        <v>55</v>
      </c>
      <c r="C56" s="35"/>
      <c r="D56" s="36">
        <v>9672.3775260542952</v>
      </c>
      <c r="E56" s="61">
        <v>100</v>
      </c>
      <c r="F56" s="62">
        <v>5.3483987001085005</v>
      </c>
      <c r="G56" s="62">
        <v>2.5366858187863048</v>
      </c>
      <c r="H56" s="62">
        <v>92.114915481104831</v>
      </c>
      <c r="I56" s="156">
        <v>4665.2182411521453</v>
      </c>
      <c r="J56" s="61">
        <v>100</v>
      </c>
      <c r="K56" s="62">
        <v>9.7157007080842224</v>
      </c>
      <c r="L56" s="62">
        <v>2.7428355735249013</v>
      </c>
      <c r="M56" s="62">
        <v>87.541463718390446</v>
      </c>
    </row>
    <row r="57" spans="1:13" s="19" customFormat="1" ht="14.1" customHeight="1" x14ac:dyDescent="0.25">
      <c r="A57" s="37"/>
      <c r="B57" s="38" t="s">
        <v>211</v>
      </c>
      <c r="C57" s="35"/>
      <c r="D57" s="36">
        <v>1368.876741468722</v>
      </c>
      <c r="E57" s="61">
        <v>100</v>
      </c>
      <c r="F57" s="62">
        <v>7.0573947468202771</v>
      </c>
      <c r="G57" s="62">
        <v>5.7354975033845497</v>
      </c>
      <c r="H57" s="62">
        <v>87.207107749795398</v>
      </c>
      <c r="I57" s="156">
        <v>1677.1417285285877</v>
      </c>
      <c r="J57" s="61">
        <v>100</v>
      </c>
      <c r="K57" s="62">
        <v>12.873356555317381</v>
      </c>
      <c r="L57" s="62">
        <v>7.4545483365703529</v>
      </c>
      <c r="M57" s="62">
        <v>79.672095108111833</v>
      </c>
    </row>
    <row r="58" spans="1:13" s="19" customFormat="1" ht="14.1" customHeight="1" x14ac:dyDescent="0.25">
      <c r="A58" s="37"/>
      <c r="B58" s="38" t="s">
        <v>212</v>
      </c>
      <c r="C58" s="35"/>
      <c r="D58" s="36">
        <v>854.75678240936622</v>
      </c>
      <c r="E58" s="61">
        <v>100</v>
      </c>
      <c r="F58" s="62">
        <v>6.7326475124652347</v>
      </c>
      <c r="G58" s="62">
        <v>6.326452349759383</v>
      </c>
      <c r="H58" s="62">
        <v>86.9409001377755</v>
      </c>
      <c r="I58" s="156">
        <v>1050.0094858919711</v>
      </c>
      <c r="J58" s="61">
        <v>100</v>
      </c>
      <c r="K58" s="62">
        <v>6.3999903766247792</v>
      </c>
      <c r="L58" s="62">
        <v>3.5665057607889805</v>
      </c>
      <c r="M58" s="62">
        <v>90.033503862586343</v>
      </c>
    </row>
    <row r="59" spans="1:13" s="19" customFormat="1" ht="14.1" customHeight="1" x14ac:dyDescent="0.25">
      <c r="A59" s="37"/>
      <c r="B59" s="38" t="s">
        <v>56</v>
      </c>
      <c r="C59" s="35"/>
      <c r="D59" s="36">
        <v>9983.6944688037747</v>
      </c>
      <c r="E59" s="61">
        <v>100</v>
      </c>
      <c r="F59" s="62">
        <v>8.7721555969275435</v>
      </c>
      <c r="G59" s="62">
        <v>4.5947419805303467</v>
      </c>
      <c r="H59" s="62">
        <v>86.633102422541484</v>
      </c>
      <c r="I59" s="156">
        <v>10635.108949502695</v>
      </c>
      <c r="J59" s="61">
        <v>100</v>
      </c>
      <c r="K59" s="62">
        <v>19.856153156371036</v>
      </c>
      <c r="L59" s="62">
        <v>7.4102013402998868</v>
      </c>
      <c r="M59" s="62">
        <v>72.733645503329711</v>
      </c>
    </row>
    <row r="60" spans="1:13" s="19" customFormat="1" ht="14.1" customHeight="1" x14ac:dyDescent="0.25">
      <c r="A60" s="37"/>
      <c r="B60" s="38" t="s">
        <v>57</v>
      </c>
      <c r="C60" s="35"/>
      <c r="D60" s="36">
        <v>1611.8095759108476</v>
      </c>
      <c r="E60" s="61">
        <v>100</v>
      </c>
      <c r="F60" s="62">
        <v>9.3210797767348996</v>
      </c>
      <c r="G60" s="62">
        <v>6.4492094676016221</v>
      </c>
      <c r="H60" s="62">
        <v>84.229710755663319</v>
      </c>
      <c r="I60" s="156">
        <v>2187.0906309417674</v>
      </c>
      <c r="J60" s="61">
        <v>100</v>
      </c>
      <c r="K60" s="62">
        <v>12.095024071137496</v>
      </c>
      <c r="L60" s="62">
        <v>6.0947468837745982</v>
      </c>
      <c r="M60" s="62">
        <v>81.810229045087894</v>
      </c>
    </row>
    <row r="61" spans="1:13" s="19" customFormat="1" ht="14.1" customHeight="1" x14ac:dyDescent="0.25">
      <c r="A61" s="37"/>
      <c r="B61" s="38" t="s">
        <v>204</v>
      </c>
      <c r="C61" s="35"/>
      <c r="D61" s="36">
        <v>116.15311639896474</v>
      </c>
      <c r="E61" s="61">
        <v>100</v>
      </c>
      <c r="F61" s="62">
        <v>18.491287793814948</v>
      </c>
      <c r="G61" s="62">
        <v>1.5601380987025135</v>
      </c>
      <c r="H61" s="62">
        <v>79.948574107482571</v>
      </c>
      <c r="I61" s="156">
        <v>45.309394469199475</v>
      </c>
      <c r="J61" s="61">
        <v>100</v>
      </c>
      <c r="K61" s="62">
        <v>37.261426179878768</v>
      </c>
      <c r="L61" s="62">
        <v>25.252861878366421</v>
      </c>
      <c r="M61" s="62">
        <v>37.485711941754786</v>
      </c>
    </row>
    <row r="62" spans="1:13" s="19" customFormat="1" ht="14.1" customHeight="1" x14ac:dyDescent="0.25">
      <c r="A62" s="37"/>
      <c r="B62" s="38" t="s">
        <v>58</v>
      </c>
      <c r="C62" s="35"/>
      <c r="D62" s="36">
        <v>90.838042514734781</v>
      </c>
      <c r="E62" s="61">
        <v>100</v>
      </c>
      <c r="F62" s="62">
        <v>12.261729387160301</v>
      </c>
      <c r="G62" s="62">
        <v>27.159636866584872</v>
      </c>
      <c r="H62" s="62">
        <v>60.578633746254702</v>
      </c>
      <c r="I62" s="156">
        <v>5691.3703818735476</v>
      </c>
      <c r="J62" s="61">
        <v>100</v>
      </c>
      <c r="K62" s="62">
        <v>13.529905531934059</v>
      </c>
      <c r="L62" s="62">
        <v>21.455107180563907</v>
      </c>
      <c r="M62" s="62">
        <v>65.014987287501654</v>
      </c>
    </row>
    <row r="63" spans="1:13" s="19" customFormat="1" ht="14.1" customHeight="1" x14ac:dyDescent="0.25">
      <c r="A63" s="37"/>
      <c r="B63" s="38" t="s">
        <v>59</v>
      </c>
      <c r="C63" s="35"/>
      <c r="D63" s="36">
        <v>4682.6021746941233</v>
      </c>
      <c r="E63" s="61">
        <v>100</v>
      </c>
      <c r="F63" s="62">
        <v>10.395535841816148</v>
      </c>
      <c r="G63" s="62">
        <v>29.341808574151099</v>
      </c>
      <c r="H63" s="62">
        <v>60.262655584031918</v>
      </c>
      <c r="I63" s="156">
        <v>3520.9123923434649</v>
      </c>
      <c r="J63" s="61">
        <v>100</v>
      </c>
      <c r="K63" s="62">
        <v>22.510354294083598</v>
      </c>
      <c r="L63" s="62">
        <v>28.273556213308485</v>
      </c>
      <c r="M63" s="62">
        <v>49.216089492609733</v>
      </c>
    </row>
    <row r="64" spans="1:13" s="19" customFormat="1" ht="14.1" customHeight="1" x14ac:dyDescent="0.25">
      <c r="A64" s="37"/>
      <c r="B64" s="38" t="s">
        <v>61</v>
      </c>
      <c r="C64" s="35"/>
      <c r="D64" s="36">
        <v>1681.3476870374493</v>
      </c>
      <c r="E64" s="61">
        <v>100</v>
      </c>
      <c r="F64" s="62">
        <v>37.475467304528649</v>
      </c>
      <c r="G64" s="62">
        <v>22.647973835760158</v>
      </c>
      <c r="H64" s="62">
        <v>39.876558859710237</v>
      </c>
      <c r="I64" s="156">
        <v>1674.9699218391545</v>
      </c>
      <c r="J64" s="61">
        <v>100</v>
      </c>
      <c r="K64" s="62">
        <v>41.762686520009986</v>
      </c>
      <c r="L64" s="62">
        <v>14.791640042025048</v>
      </c>
      <c r="M64" s="62">
        <v>43.445673437964977</v>
      </c>
    </row>
    <row r="65" spans="1:13" s="19" customFormat="1" ht="14.1" customHeight="1" x14ac:dyDescent="0.25">
      <c r="A65" s="37"/>
      <c r="B65" s="38" t="s">
        <v>60</v>
      </c>
      <c r="C65" s="35"/>
      <c r="D65" s="36">
        <v>1009.9151218379146</v>
      </c>
      <c r="E65" s="61">
        <v>100</v>
      </c>
      <c r="F65" s="62">
        <v>8.0788861428391652</v>
      </c>
      <c r="G65" s="62">
        <v>20.795665997544965</v>
      </c>
      <c r="H65" s="62">
        <v>71.125447859615932</v>
      </c>
      <c r="I65" s="156">
        <v>762.15782266937163</v>
      </c>
      <c r="J65" s="61">
        <v>100</v>
      </c>
      <c r="K65" s="62">
        <v>11.868797231734877</v>
      </c>
      <c r="L65" s="62">
        <v>21.205683627043502</v>
      </c>
      <c r="M65" s="62">
        <v>66.925519141221727</v>
      </c>
    </row>
    <row r="66" spans="1:13" s="19" customFormat="1" ht="14.1" customHeight="1" x14ac:dyDescent="0.25">
      <c r="A66" s="37"/>
      <c r="B66" s="38" t="s">
        <v>117</v>
      </c>
      <c r="C66" s="35"/>
      <c r="D66" s="36">
        <v>39.791355275151808</v>
      </c>
      <c r="E66" s="61">
        <v>100</v>
      </c>
      <c r="F66" s="62">
        <v>0</v>
      </c>
      <c r="G66" s="62">
        <v>2.9337294088022361</v>
      </c>
      <c r="H66" s="62">
        <v>97.066270591197764</v>
      </c>
      <c r="I66" s="156">
        <v>84.022423685946606</v>
      </c>
      <c r="J66" s="61">
        <v>100</v>
      </c>
      <c r="K66" s="62">
        <v>13.131227972658859</v>
      </c>
      <c r="L66" s="62">
        <v>1.9414381331541934</v>
      </c>
      <c r="M66" s="62">
        <v>84.927333894186944</v>
      </c>
    </row>
    <row r="67" spans="1:13" s="19" customFormat="1" ht="14.1" customHeight="1" x14ac:dyDescent="0.25">
      <c r="A67" s="37" t="s">
        <v>5</v>
      </c>
      <c r="B67" s="38"/>
      <c r="C67" s="36"/>
      <c r="D67" s="36"/>
      <c r="E67" s="61"/>
      <c r="F67" s="62"/>
      <c r="G67" s="62"/>
      <c r="H67" s="62"/>
      <c r="I67" s="156"/>
      <c r="J67" s="61"/>
      <c r="K67" s="62"/>
      <c r="L67" s="62"/>
      <c r="M67" s="62"/>
    </row>
    <row r="68" spans="1:13" s="19" customFormat="1" ht="14.1" customHeight="1" x14ac:dyDescent="0.25">
      <c r="A68" s="37"/>
      <c r="B68" s="38" t="s">
        <v>6</v>
      </c>
      <c r="C68" s="35"/>
      <c r="D68" s="36">
        <v>15654.750049834553</v>
      </c>
      <c r="E68" s="61">
        <v>100</v>
      </c>
      <c r="F68" s="62">
        <v>7.3871024520990192</v>
      </c>
      <c r="G68" s="62">
        <v>2.2522930862980846</v>
      </c>
      <c r="H68" s="62">
        <v>90.360604461602364</v>
      </c>
      <c r="I68" s="156">
        <v>13506.834565437024</v>
      </c>
      <c r="J68" s="61">
        <v>100</v>
      </c>
      <c r="K68" s="62">
        <v>17.18389164593307</v>
      </c>
      <c r="L68" s="62">
        <v>4.3036658062459461</v>
      </c>
      <c r="M68" s="62">
        <v>78.512442547819475</v>
      </c>
    </row>
    <row r="69" spans="1:13" s="19" customFormat="1" ht="14.1" customHeight="1" x14ac:dyDescent="0.25">
      <c r="A69" s="37"/>
      <c r="B69" s="38" t="s">
        <v>7</v>
      </c>
      <c r="C69" s="35"/>
      <c r="D69" s="36">
        <v>1486.1807569819962</v>
      </c>
      <c r="E69" s="61">
        <v>100</v>
      </c>
      <c r="F69" s="62">
        <v>36.340087252206786</v>
      </c>
      <c r="G69" s="62">
        <v>22.459352476404778</v>
      </c>
      <c r="H69" s="62">
        <v>41.20056027138763</v>
      </c>
      <c r="I69" s="156">
        <v>1467.206399637153</v>
      </c>
      <c r="J69" s="61">
        <v>100</v>
      </c>
      <c r="K69" s="62">
        <v>43.666678888972456</v>
      </c>
      <c r="L69" s="62">
        <v>13.323846793217477</v>
      </c>
      <c r="M69" s="62">
        <v>43.009474317810152</v>
      </c>
    </row>
    <row r="70" spans="1:13" s="19" customFormat="1" ht="14.1" customHeight="1" x14ac:dyDescent="0.25">
      <c r="A70" s="37"/>
      <c r="B70" s="38" t="s">
        <v>122</v>
      </c>
      <c r="C70" s="35"/>
      <c r="D70" s="36">
        <v>2334.6532148779261</v>
      </c>
      <c r="E70" s="61">
        <v>100</v>
      </c>
      <c r="F70" s="62">
        <v>7.0849067977381903</v>
      </c>
      <c r="G70" s="62">
        <v>1.6870546208178845</v>
      </c>
      <c r="H70" s="62">
        <v>91.228038581443599</v>
      </c>
      <c r="I70" s="156">
        <v>746.51024998503613</v>
      </c>
      <c r="J70" s="61">
        <v>100</v>
      </c>
      <c r="K70" s="62">
        <v>20.299552569940239</v>
      </c>
      <c r="L70" s="62">
        <v>2.4853924037499531</v>
      </c>
      <c r="M70" s="62">
        <v>77.215055026309798</v>
      </c>
    </row>
    <row r="71" spans="1:13" s="19" customFormat="1" ht="14.1" customHeight="1" x14ac:dyDescent="0.25">
      <c r="A71" s="37"/>
      <c r="B71" s="38" t="s">
        <v>8</v>
      </c>
      <c r="C71" s="35"/>
      <c r="D71" s="36">
        <v>4437.4379761849614</v>
      </c>
      <c r="E71" s="61">
        <v>100</v>
      </c>
      <c r="F71" s="62">
        <v>3.5320845975966919</v>
      </c>
      <c r="G71" s="62">
        <v>14.064219324298289</v>
      </c>
      <c r="H71" s="62">
        <v>82.403696078105455</v>
      </c>
      <c r="I71" s="156">
        <v>6650.0388639008133</v>
      </c>
      <c r="J71" s="61">
        <v>100</v>
      </c>
      <c r="K71" s="62">
        <v>7.5273900151399591</v>
      </c>
      <c r="L71" s="62">
        <v>18.524506559171616</v>
      </c>
      <c r="M71" s="62">
        <v>73.948103425688217</v>
      </c>
    </row>
    <row r="72" spans="1:13" s="19" customFormat="1" ht="14.1" customHeight="1" x14ac:dyDescent="0.25">
      <c r="A72" s="37"/>
      <c r="B72" s="38" t="s">
        <v>9</v>
      </c>
      <c r="C72" s="35"/>
      <c r="D72" s="36">
        <v>4573.3218957097124</v>
      </c>
      <c r="E72" s="61">
        <v>100</v>
      </c>
      <c r="F72" s="62">
        <v>9.9901302628434472</v>
      </c>
      <c r="G72" s="62">
        <v>7.2804406855546855</v>
      </c>
      <c r="H72" s="62">
        <v>82.729429051602438</v>
      </c>
      <c r="I72" s="156">
        <v>6366.47059311253</v>
      </c>
      <c r="J72" s="61">
        <v>100</v>
      </c>
      <c r="K72" s="62">
        <v>18.536688373408403</v>
      </c>
      <c r="L72" s="62">
        <v>8.0877054032311033</v>
      </c>
      <c r="M72" s="62">
        <v>73.375606223360677</v>
      </c>
    </row>
    <row r="73" spans="1:13" s="19" customFormat="1" ht="14.1" customHeight="1" x14ac:dyDescent="0.25">
      <c r="A73" s="37"/>
      <c r="B73" s="38" t="s">
        <v>10</v>
      </c>
      <c r="C73" s="35"/>
      <c r="D73" s="36">
        <v>3916.6763206080927</v>
      </c>
      <c r="E73" s="61">
        <v>100</v>
      </c>
      <c r="F73" s="62">
        <v>11.846822301240088</v>
      </c>
      <c r="G73" s="62">
        <v>34.813524437117998</v>
      </c>
      <c r="H73" s="62">
        <v>53.339653261640422</v>
      </c>
      <c r="I73" s="156">
        <v>3823.5498772767896</v>
      </c>
      <c r="J73" s="61">
        <v>100</v>
      </c>
      <c r="K73" s="62">
        <v>18.564901685139692</v>
      </c>
      <c r="L73" s="62">
        <v>35.139997617723168</v>
      </c>
      <c r="M73" s="62">
        <v>46.295100697137975</v>
      </c>
    </row>
    <row r="74" spans="1:13" s="19" customFormat="1" ht="14.1" customHeight="1" x14ac:dyDescent="0.25">
      <c r="A74" s="37" t="s">
        <v>72</v>
      </c>
      <c r="B74" s="38"/>
      <c r="C74" s="36"/>
      <c r="D74" s="36"/>
      <c r="E74" s="61"/>
      <c r="F74" s="62"/>
      <c r="G74" s="62"/>
      <c r="H74" s="62"/>
      <c r="I74" s="156"/>
      <c r="J74" s="61"/>
      <c r="K74" s="62"/>
      <c r="L74" s="62"/>
      <c r="M74" s="62"/>
    </row>
    <row r="75" spans="1:13" s="19" customFormat="1" ht="14.1" customHeight="1" x14ac:dyDescent="0.25">
      <c r="A75" s="37"/>
      <c r="B75" s="38" t="s">
        <v>123</v>
      </c>
      <c r="C75" s="35"/>
      <c r="D75" s="36">
        <v>2312.4834644428342</v>
      </c>
      <c r="E75" s="61">
        <v>100</v>
      </c>
      <c r="F75" s="62">
        <v>12.977193026863517</v>
      </c>
      <c r="G75" s="62">
        <v>12.459935804406092</v>
      </c>
      <c r="H75" s="62">
        <v>74.562871168730425</v>
      </c>
      <c r="I75" s="156">
        <v>1719.5090255928847</v>
      </c>
      <c r="J75" s="61">
        <v>100</v>
      </c>
      <c r="K75" s="62">
        <v>19.917823321036444</v>
      </c>
      <c r="L75" s="62">
        <v>18.359062078436374</v>
      </c>
      <c r="M75" s="62">
        <v>61.723114600527076</v>
      </c>
    </row>
    <row r="76" spans="1:13" s="19" customFormat="1" ht="14.1" customHeight="1" x14ac:dyDescent="0.25">
      <c r="A76" s="37"/>
      <c r="B76" s="38" t="s">
        <v>124</v>
      </c>
      <c r="C76" s="35"/>
      <c r="D76" s="36">
        <v>7803.1751465972065</v>
      </c>
      <c r="E76" s="61">
        <v>100</v>
      </c>
      <c r="F76" s="62">
        <v>7.9095015472917449</v>
      </c>
      <c r="G76" s="62">
        <v>7.8909667823135079</v>
      </c>
      <c r="H76" s="62">
        <v>84.199531670394578</v>
      </c>
      <c r="I76" s="156">
        <v>8116.770569956856</v>
      </c>
      <c r="J76" s="61">
        <v>100</v>
      </c>
      <c r="K76" s="62">
        <v>15.242421562497181</v>
      </c>
      <c r="L76" s="62">
        <v>10.399473288230379</v>
      </c>
      <c r="M76" s="62">
        <v>74.358105149272461</v>
      </c>
    </row>
    <row r="77" spans="1:13" s="19" customFormat="1" ht="14.1" customHeight="1" x14ac:dyDescent="0.25">
      <c r="A77" s="37"/>
      <c r="B77" s="38" t="s">
        <v>219</v>
      </c>
      <c r="C77" s="35"/>
      <c r="D77" s="36">
        <v>3334.4565881599733</v>
      </c>
      <c r="E77" s="61">
        <v>100</v>
      </c>
      <c r="F77" s="62">
        <v>7.670804891113554</v>
      </c>
      <c r="G77" s="62">
        <v>11.050519598020585</v>
      </c>
      <c r="H77" s="62">
        <v>81.27867551086544</v>
      </c>
      <c r="I77" s="156">
        <v>3838.6383745853423</v>
      </c>
      <c r="J77" s="61">
        <v>100</v>
      </c>
      <c r="K77" s="62">
        <v>15.632555429910051</v>
      </c>
      <c r="L77" s="62">
        <v>17.253282521879637</v>
      </c>
      <c r="M77" s="62">
        <v>67.114162048210801</v>
      </c>
    </row>
    <row r="78" spans="1:13" s="19" customFormat="1" ht="14.1" customHeight="1" x14ac:dyDescent="0.25">
      <c r="A78" s="37"/>
      <c r="B78" s="38" t="s">
        <v>214</v>
      </c>
      <c r="C78" s="35"/>
      <c r="D78" s="36">
        <v>2545.9379779701881</v>
      </c>
      <c r="E78" s="61">
        <v>100</v>
      </c>
      <c r="F78" s="62">
        <v>6.7112508410947314</v>
      </c>
      <c r="G78" s="62">
        <v>12.970895733502887</v>
      </c>
      <c r="H78" s="62">
        <v>80.317853425402035</v>
      </c>
      <c r="I78" s="156">
        <v>2973.7749072947681</v>
      </c>
      <c r="J78" s="61">
        <v>100</v>
      </c>
      <c r="K78" s="62">
        <v>15.555955961686921</v>
      </c>
      <c r="L78" s="62">
        <v>16.347860228398677</v>
      </c>
      <c r="M78" s="62">
        <v>68.096183809915146</v>
      </c>
    </row>
    <row r="79" spans="1:13" s="19" customFormat="1" ht="14.1" customHeight="1" x14ac:dyDescent="0.25">
      <c r="A79" s="37"/>
      <c r="B79" s="38" t="s">
        <v>216</v>
      </c>
      <c r="C79" s="35"/>
      <c r="D79" s="36">
        <v>1767.3070552819486</v>
      </c>
      <c r="E79" s="61">
        <v>100</v>
      </c>
      <c r="F79" s="62">
        <v>11.366312767204725</v>
      </c>
      <c r="G79" s="62">
        <v>10.51939938112889</v>
      </c>
      <c r="H79" s="62">
        <v>78.114287851666589</v>
      </c>
      <c r="I79" s="156">
        <v>1736.9064385962547</v>
      </c>
      <c r="J79" s="61">
        <v>100</v>
      </c>
      <c r="K79" s="62">
        <v>21.404205303262174</v>
      </c>
      <c r="L79" s="62">
        <v>10.470680083651164</v>
      </c>
      <c r="M79" s="62">
        <v>68.125114613086396</v>
      </c>
    </row>
    <row r="80" spans="1:13" s="19" customFormat="1" ht="14.1" customHeight="1" x14ac:dyDescent="0.25">
      <c r="A80" s="37"/>
      <c r="B80" s="38" t="s">
        <v>218</v>
      </c>
      <c r="C80" s="35"/>
      <c r="D80" s="36">
        <v>2847.6977397333112</v>
      </c>
      <c r="E80" s="61">
        <v>100</v>
      </c>
      <c r="F80" s="62">
        <v>11.676336849147622</v>
      </c>
      <c r="G80" s="62">
        <v>10.930001867222998</v>
      </c>
      <c r="H80" s="62">
        <v>77.393661283628916</v>
      </c>
      <c r="I80" s="156">
        <v>3170.8543128032325</v>
      </c>
      <c r="J80" s="61">
        <v>100</v>
      </c>
      <c r="K80" s="62">
        <v>17.245863178654272</v>
      </c>
      <c r="L80" s="62">
        <v>12.845492156058718</v>
      </c>
      <c r="M80" s="62">
        <v>69.908644665287625</v>
      </c>
    </row>
    <row r="81" spans="1:13" s="19" customFormat="1" ht="14.1" customHeight="1" x14ac:dyDescent="0.25">
      <c r="A81" s="37"/>
      <c r="B81" s="38" t="s">
        <v>125</v>
      </c>
      <c r="C81" s="35"/>
      <c r="D81" s="36">
        <v>7390.7147688585492</v>
      </c>
      <c r="E81" s="61">
        <v>100</v>
      </c>
      <c r="F81" s="62">
        <v>9.2295395510180764</v>
      </c>
      <c r="G81" s="62">
        <v>6.3510320105403419</v>
      </c>
      <c r="H81" s="62">
        <v>84.419428438441543</v>
      </c>
      <c r="I81" s="156">
        <v>6841.740478883823</v>
      </c>
      <c r="J81" s="61">
        <v>100</v>
      </c>
      <c r="K81" s="62">
        <v>18.889295343441486</v>
      </c>
      <c r="L81" s="62">
        <v>7.4964956782369274</v>
      </c>
      <c r="M81" s="62">
        <v>73.614208978321315</v>
      </c>
    </row>
    <row r="82" spans="1:13" s="19" customFormat="1" ht="14.1" customHeight="1" x14ac:dyDescent="0.25">
      <c r="A82" s="37"/>
      <c r="B82" s="38" t="s">
        <v>126</v>
      </c>
      <c r="C82" s="35"/>
      <c r="D82" s="36">
        <v>3454.451760337759</v>
      </c>
      <c r="E82" s="61">
        <v>100</v>
      </c>
      <c r="F82" s="62">
        <v>8.3871984668314887</v>
      </c>
      <c r="G82" s="62">
        <v>9.9871760663006643</v>
      </c>
      <c r="H82" s="62">
        <v>81.625625466867646</v>
      </c>
      <c r="I82" s="156">
        <v>3128.2064214913908</v>
      </c>
      <c r="J82" s="61">
        <v>100</v>
      </c>
      <c r="K82" s="62">
        <v>17.008737936452402</v>
      </c>
      <c r="L82" s="62">
        <v>10.920855281594562</v>
      </c>
      <c r="M82" s="62">
        <v>72.070406781953309</v>
      </c>
    </row>
    <row r="83" spans="1:13" s="19" customFormat="1" ht="14.1" customHeight="1" x14ac:dyDescent="0.25">
      <c r="A83" s="37"/>
      <c r="B83" s="38" t="s">
        <v>127</v>
      </c>
      <c r="C83" s="35"/>
      <c r="D83" s="36">
        <v>600.584256285587</v>
      </c>
      <c r="E83" s="61">
        <v>100</v>
      </c>
      <c r="F83" s="62">
        <v>11.160866499213187</v>
      </c>
      <c r="G83" s="62">
        <v>7.9597365372926792</v>
      </c>
      <c r="H83" s="62">
        <v>80.879396963494102</v>
      </c>
      <c r="I83" s="156">
        <v>522.07777182103496</v>
      </c>
      <c r="J83" s="61">
        <v>100</v>
      </c>
      <c r="K83" s="62">
        <v>14.423021527918928</v>
      </c>
      <c r="L83" s="62">
        <v>7.9660332160109499</v>
      </c>
      <c r="M83" s="62">
        <v>77.610945256070124</v>
      </c>
    </row>
    <row r="84" spans="1:13" s="19" customFormat="1" ht="14.1" customHeight="1" x14ac:dyDescent="0.25">
      <c r="A84" s="37"/>
      <c r="B84" s="38" t="s">
        <v>12</v>
      </c>
      <c r="C84" s="35"/>
      <c r="D84" s="36">
        <v>346.21145652959063</v>
      </c>
      <c r="E84" s="61">
        <v>100</v>
      </c>
      <c r="F84" s="62">
        <v>6.7384330066210563</v>
      </c>
      <c r="G84" s="62">
        <v>24.379160438342691</v>
      </c>
      <c r="H84" s="62">
        <v>68.882406555036283</v>
      </c>
      <c r="I84" s="156">
        <v>512.13224832362948</v>
      </c>
      <c r="J84" s="61">
        <v>100</v>
      </c>
      <c r="K84" s="62">
        <v>8.4098722510883892</v>
      </c>
      <c r="L84" s="62">
        <v>18.003853826988276</v>
      </c>
      <c r="M84" s="62">
        <v>73.586273921923379</v>
      </c>
    </row>
    <row r="85" spans="1:13" s="19" customFormat="1" ht="5.0999999999999996" customHeight="1" x14ac:dyDescent="0.25">
      <c r="A85" s="63"/>
      <c r="B85" s="64"/>
      <c r="C85" s="142"/>
      <c r="D85" s="65"/>
      <c r="E85" s="67"/>
      <c r="F85" s="69"/>
      <c r="G85" s="69"/>
      <c r="H85" s="69"/>
      <c r="I85" s="162"/>
      <c r="J85" s="67"/>
      <c r="K85" s="69"/>
      <c r="L85" s="69"/>
      <c r="M85" s="69"/>
    </row>
    <row r="86" spans="1:13" s="19" customFormat="1" ht="5.0999999999999996" customHeight="1" x14ac:dyDescent="0.25">
      <c r="A86" s="30"/>
      <c r="B86" s="70"/>
      <c r="C86" s="143"/>
      <c r="D86" s="108"/>
      <c r="E86" s="110"/>
      <c r="F86" s="71"/>
      <c r="G86" s="71"/>
      <c r="H86" s="71"/>
      <c r="I86" s="163"/>
      <c r="J86" s="110"/>
      <c r="K86" s="71"/>
      <c r="L86" s="71"/>
      <c r="M86" s="71"/>
    </row>
    <row r="87" spans="1:13" s="19" customFormat="1" ht="14.1" customHeight="1" x14ac:dyDescent="0.25">
      <c r="A87" s="37" t="s">
        <v>62</v>
      </c>
      <c r="B87" s="38"/>
      <c r="C87" s="36"/>
      <c r="D87" s="36"/>
      <c r="E87" s="61"/>
      <c r="F87" s="62"/>
      <c r="G87" s="62"/>
      <c r="H87" s="62"/>
      <c r="I87" s="156"/>
      <c r="J87" s="61"/>
      <c r="K87" s="62"/>
      <c r="L87" s="62"/>
      <c r="M87" s="62"/>
    </row>
    <row r="88" spans="1:13" s="19" customFormat="1" ht="14.1" customHeight="1" x14ac:dyDescent="0.25">
      <c r="A88" s="37"/>
      <c r="B88" s="38" t="s">
        <v>129</v>
      </c>
      <c r="C88" s="35"/>
      <c r="D88" s="36">
        <v>24620.68624319317</v>
      </c>
      <c r="E88" s="61">
        <v>100</v>
      </c>
      <c r="F88" s="62">
        <v>11.041923572452319</v>
      </c>
      <c r="G88" s="62">
        <v>10.551313129315037</v>
      </c>
      <c r="H88" s="62">
        <v>78.406763298231596</v>
      </c>
      <c r="I88" s="156">
        <v>23877.104046674776</v>
      </c>
      <c r="J88" s="61">
        <v>100</v>
      </c>
      <c r="K88" s="62">
        <v>18.047876949483847</v>
      </c>
      <c r="L88" s="62">
        <v>11.538072359352283</v>
      </c>
      <c r="M88" s="62">
        <v>70.414050691167745</v>
      </c>
    </row>
    <row r="89" spans="1:13" s="19" customFormat="1" ht="14.1" customHeight="1" x14ac:dyDescent="0.25">
      <c r="A89" s="37"/>
      <c r="B89" s="38" t="s">
        <v>130</v>
      </c>
      <c r="C89" s="35"/>
      <c r="D89" s="36">
        <v>39027.488601474855</v>
      </c>
      <c r="E89" s="61">
        <v>100</v>
      </c>
      <c r="F89" s="62">
        <v>11.382343795399491</v>
      </c>
      <c r="G89" s="62">
        <v>10.352607245303682</v>
      </c>
      <c r="H89" s="62">
        <v>78.265048959299534</v>
      </c>
      <c r="I89" s="156">
        <v>38757.397117642082</v>
      </c>
      <c r="J89" s="61">
        <v>100</v>
      </c>
      <c r="K89" s="62">
        <v>18.006650131039677</v>
      </c>
      <c r="L89" s="62">
        <v>12.056290382686322</v>
      </c>
      <c r="M89" s="62">
        <v>69.937059486271139</v>
      </c>
    </row>
    <row r="90" spans="1:13" s="19" customFormat="1" ht="14.1" customHeight="1" x14ac:dyDescent="0.25">
      <c r="A90" s="37"/>
      <c r="B90" s="38" t="s">
        <v>131</v>
      </c>
      <c r="C90" s="35"/>
      <c r="D90" s="36">
        <v>38629.160479059021</v>
      </c>
      <c r="E90" s="61">
        <v>100</v>
      </c>
      <c r="F90" s="62">
        <v>11.386953199838139</v>
      </c>
      <c r="G90" s="62">
        <v>8.4251055746334664</v>
      </c>
      <c r="H90" s="62">
        <v>80.187941225526387</v>
      </c>
      <c r="I90" s="156">
        <v>38605.298652920312</v>
      </c>
      <c r="J90" s="61">
        <v>100</v>
      </c>
      <c r="K90" s="62">
        <v>18.705094035176259</v>
      </c>
      <c r="L90" s="62">
        <v>11.311213678662932</v>
      </c>
      <c r="M90" s="62">
        <v>69.983692286160249</v>
      </c>
    </row>
    <row r="91" spans="1:13" s="19" customFormat="1" ht="14.1" customHeight="1" x14ac:dyDescent="0.25">
      <c r="A91" s="37"/>
      <c r="B91" s="38" t="s">
        <v>132</v>
      </c>
      <c r="C91" s="35"/>
      <c r="D91" s="36">
        <v>38973.762843942728</v>
      </c>
      <c r="E91" s="61">
        <v>100</v>
      </c>
      <c r="F91" s="62">
        <v>11.6022531798485</v>
      </c>
      <c r="G91" s="62">
        <v>9.7520330238839605</v>
      </c>
      <c r="H91" s="62">
        <v>78.645713796265056</v>
      </c>
      <c r="I91" s="156">
        <v>38776.318155448382</v>
      </c>
      <c r="J91" s="61">
        <v>100</v>
      </c>
      <c r="K91" s="62">
        <v>19.186791378749167</v>
      </c>
      <c r="L91" s="62">
        <v>12.528789569222994</v>
      </c>
      <c r="M91" s="62">
        <v>68.284419052028099</v>
      </c>
    </row>
    <row r="92" spans="1:13" s="19" customFormat="1" ht="14.1" customHeight="1" x14ac:dyDescent="0.25">
      <c r="A92" s="37"/>
      <c r="B92" s="38" t="s">
        <v>133</v>
      </c>
      <c r="C92" s="35"/>
      <c r="D92" s="36">
        <v>36819.026764602218</v>
      </c>
      <c r="E92" s="61">
        <v>100</v>
      </c>
      <c r="F92" s="62">
        <v>11.836521118062674</v>
      </c>
      <c r="G92" s="62">
        <v>9.9240442809949911</v>
      </c>
      <c r="H92" s="62">
        <v>78.239434600944037</v>
      </c>
      <c r="I92" s="156">
        <v>36936.494205921626</v>
      </c>
      <c r="J92" s="61">
        <v>100</v>
      </c>
      <c r="K92" s="62">
        <v>19.26142360683453</v>
      </c>
      <c r="L92" s="62">
        <v>12.289412483290674</v>
      </c>
      <c r="M92" s="62">
        <v>68.449163909876191</v>
      </c>
    </row>
    <row r="93" spans="1:13" s="19" customFormat="1" ht="14.1" customHeight="1" x14ac:dyDescent="0.25">
      <c r="A93" s="37"/>
      <c r="B93" s="38" t="s">
        <v>134</v>
      </c>
      <c r="C93" s="35"/>
      <c r="D93" s="36">
        <v>38807.388984875804</v>
      </c>
      <c r="E93" s="61">
        <v>100</v>
      </c>
      <c r="F93" s="62">
        <v>12.180110166391836</v>
      </c>
      <c r="G93" s="62">
        <v>9.2683748870029774</v>
      </c>
      <c r="H93" s="62">
        <v>78.551514946607881</v>
      </c>
      <c r="I93" s="156">
        <v>37389.084680246597</v>
      </c>
      <c r="J93" s="61">
        <v>100</v>
      </c>
      <c r="K93" s="62">
        <v>19.460464797971703</v>
      </c>
      <c r="L93" s="62">
        <v>11.472425648570864</v>
      </c>
      <c r="M93" s="62">
        <v>69.06710955345649</v>
      </c>
    </row>
    <row r="94" spans="1:13" s="19" customFormat="1" ht="14.1" customHeight="1" x14ac:dyDescent="0.25">
      <c r="A94" s="37"/>
      <c r="B94" s="38" t="s">
        <v>135</v>
      </c>
      <c r="C94" s="35"/>
      <c r="D94" s="36">
        <v>38048.229141852302</v>
      </c>
      <c r="E94" s="61">
        <v>100</v>
      </c>
      <c r="F94" s="62">
        <v>12.04410269587958</v>
      </c>
      <c r="G94" s="62">
        <v>9.0232510533384147</v>
      </c>
      <c r="H94" s="62">
        <v>78.932646250782611</v>
      </c>
      <c r="I94" s="156">
        <v>37774.616951382603</v>
      </c>
      <c r="J94" s="61">
        <v>100</v>
      </c>
      <c r="K94" s="62">
        <v>18.889706305750149</v>
      </c>
      <c r="L94" s="62">
        <v>11.391056483453173</v>
      </c>
      <c r="M94" s="62">
        <v>69.719237210793921</v>
      </c>
    </row>
    <row r="95" spans="1:13" s="19" customFormat="1" ht="14.1" customHeight="1" x14ac:dyDescent="0.25">
      <c r="A95" s="37"/>
      <c r="B95" s="38" t="s">
        <v>136</v>
      </c>
      <c r="C95" s="35"/>
      <c r="D95" s="36">
        <v>38893.711170351242</v>
      </c>
      <c r="E95" s="61">
        <v>100</v>
      </c>
      <c r="F95" s="62">
        <v>11.982170335011302</v>
      </c>
      <c r="G95" s="62">
        <v>9.2403586595364366</v>
      </c>
      <c r="H95" s="62">
        <v>78.777471005451986</v>
      </c>
      <c r="I95" s="156">
        <v>38559.446029220955</v>
      </c>
      <c r="J95" s="61">
        <v>100</v>
      </c>
      <c r="K95" s="62">
        <v>19.720155661889692</v>
      </c>
      <c r="L95" s="62">
        <v>11.469849626303956</v>
      </c>
      <c r="M95" s="62">
        <v>68.809994711806539</v>
      </c>
    </row>
    <row r="96" spans="1:13" s="19" customFormat="1" ht="14.1" customHeight="1" x14ac:dyDescent="0.25">
      <c r="A96" s="37"/>
      <c r="B96" s="38" t="s">
        <v>192</v>
      </c>
      <c r="C96" s="35"/>
      <c r="D96" s="36">
        <v>35816.061395456774</v>
      </c>
      <c r="E96" s="61">
        <v>100</v>
      </c>
      <c r="F96" s="62">
        <v>10.432826179441166</v>
      </c>
      <c r="G96" s="62">
        <v>10.528801271836816</v>
      </c>
      <c r="H96" s="62">
        <v>79.038372548718186</v>
      </c>
      <c r="I96" s="156">
        <v>36141.333232518882</v>
      </c>
      <c r="J96" s="61">
        <v>100</v>
      </c>
      <c r="K96" s="62">
        <v>16.85554977714316</v>
      </c>
      <c r="L96" s="62">
        <v>12.70189079247289</v>
      </c>
      <c r="M96" s="62">
        <v>70.442559430383383</v>
      </c>
    </row>
    <row r="97" spans="1:13" s="19" customFormat="1" ht="14.1" customHeight="1" x14ac:dyDescent="0.25">
      <c r="A97" s="37"/>
      <c r="B97" s="38" t="s">
        <v>194</v>
      </c>
      <c r="C97" s="35"/>
      <c r="D97" s="36">
        <v>35960.255437295404</v>
      </c>
      <c r="E97" s="61">
        <v>100</v>
      </c>
      <c r="F97" s="62">
        <v>9.8100417581454735</v>
      </c>
      <c r="G97" s="62">
        <v>10.914697447769734</v>
      </c>
      <c r="H97" s="62">
        <v>79.275260794085966</v>
      </c>
      <c r="I97" s="156">
        <v>34635.617611436268</v>
      </c>
      <c r="J97" s="61">
        <v>100</v>
      </c>
      <c r="K97" s="62">
        <v>15.331626768902522</v>
      </c>
      <c r="L97" s="62">
        <v>14.649429801349783</v>
      </c>
      <c r="M97" s="62">
        <v>70.01894342974839</v>
      </c>
    </row>
    <row r="98" spans="1:13" s="19" customFormat="1" ht="14.1" customHeight="1" x14ac:dyDescent="0.25">
      <c r="A98" s="37"/>
      <c r="B98" s="38" t="s">
        <v>205</v>
      </c>
      <c r="C98" s="35"/>
      <c r="D98" s="36">
        <f t="shared" ref="D98:M98" si="0">D$9</f>
        <v>32403.020214197149</v>
      </c>
      <c r="E98" s="61">
        <f t="shared" si="0"/>
        <v>100</v>
      </c>
      <c r="F98" s="62">
        <f t="shared" si="0"/>
        <v>9.0717974908804813</v>
      </c>
      <c r="G98" s="62">
        <f t="shared" si="0"/>
        <v>9.4014272367994227</v>
      </c>
      <c r="H98" s="62">
        <f t="shared" si="0"/>
        <v>81.526775272320464</v>
      </c>
      <c r="I98" s="156">
        <f t="shared" si="0"/>
        <v>32560.610549349527</v>
      </c>
      <c r="J98" s="61">
        <f t="shared" si="0"/>
        <v>100</v>
      </c>
      <c r="K98" s="62">
        <f t="shared" si="0"/>
        <v>16.903134562710775</v>
      </c>
      <c r="L98" s="62">
        <f t="shared" si="0"/>
        <v>11.933789337753632</v>
      </c>
      <c r="M98" s="62">
        <f t="shared" si="0"/>
        <v>71.163076099537037</v>
      </c>
    </row>
    <row r="99" spans="1:13" s="23" customFormat="1" ht="5.25" customHeight="1" x14ac:dyDescent="0.25">
      <c r="A99" s="39"/>
      <c r="B99" s="40"/>
      <c r="C99" s="41"/>
      <c r="D99" s="164"/>
      <c r="E99" s="165"/>
      <c r="F99" s="166"/>
      <c r="G99" s="166"/>
      <c r="H99" s="166"/>
      <c r="I99" s="167"/>
      <c r="J99" s="165"/>
      <c r="K99" s="166"/>
      <c r="L99" s="166"/>
      <c r="M99" s="166"/>
    </row>
    <row r="100" spans="1:13" ht="11.1" customHeight="1" x14ac:dyDescent="0.25">
      <c r="C100" s="45"/>
    </row>
    <row r="101" spans="1:13" ht="11.1" customHeight="1" x14ac:dyDescent="0.25">
      <c r="C101" s="45"/>
    </row>
    <row r="102" spans="1:13" ht="11.1" customHeight="1" x14ac:dyDescent="0.25">
      <c r="C102" s="45"/>
    </row>
  </sheetData>
  <mergeCells count="16">
    <mergeCell ref="D6:D8"/>
    <mergeCell ref="I6:I8"/>
    <mergeCell ref="A1:M1"/>
    <mergeCell ref="A3:M3"/>
    <mergeCell ref="A5:C8"/>
    <mergeCell ref="D5:H5"/>
    <mergeCell ref="I5:M5"/>
    <mergeCell ref="E6:E8"/>
    <mergeCell ref="J6:J8"/>
    <mergeCell ref="F7:F8"/>
    <mergeCell ref="M7:M8"/>
    <mergeCell ref="A2:M2"/>
    <mergeCell ref="G7:G8"/>
    <mergeCell ref="H7:H8"/>
    <mergeCell ref="K7:K8"/>
    <mergeCell ref="L7:L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5" max="1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448F-3C97-4F45-BAA2-B3D160EF7BBA}">
  <sheetPr codeName="工作表65"/>
  <dimension ref="A1:Y77"/>
  <sheetViews>
    <sheetView showGridLines="0" view="pageBreakPreview" zoomScale="90" zoomScaleNormal="100" zoomScaleSheetLayoutView="90" workbookViewId="0">
      <selection activeCell="R25" sqref="R25"/>
    </sheetView>
  </sheetViews>
  <sheetFormatPr defaultColWidth="9" defaultRowHeight="11.1" customHeight="1" x14ac:dyDescent="0.25"/>
  <cols>
    <col min="1" max="1" width="1.875" style="18" customWidth="1"/>
    <col min="2" max="2" width="13.5" style="44" customWidth="1"/>
    <col min="3" max="3" width="3.25" style="48" customWidth="1"/>
    <col min="4" max="25" width="6.625" style="47" customWidth="1"/>
    <col min="26" max="16384" width="9" style="46"/>
  </cols>
  <sheetData>
    <row r="1" spans="1:25" s="14" customFormat="1" ht="22.15" customHeight="1" x14ac:dyDescent="0.25">
      <c r="B1" s="22"/>
      <c r="C1" s="22"/>
      <c r="D1" s="96" t="s">
        <v>249</v>
      </c>
      <c r="E1" s="22"/>
      <c r="G1" s="22"/>
      <c r="H1" s="22"/>
      <c r="I1" s="22"/>
      <c r="J1" s="22"/>
      <c r="K1" s="22"/>
      <c r="L1" s="22"/>
      <c r="M1" s="22"/>
      <c r="N1" s="22"/>
      <c r="O1" s="96" t="s">
        <v>273</v>
      </c>
      <c r="P1" s="17"/>
    </row>
    <row r="2" spans="1:25" s="14" customFormat="1" ht="16.149999999999999" customHeight="1" x14ac:dyDescent="0.25">
      <c r="A2" s="22"/>
      <c r="B2" s="22"/>
      <c r="C2" s="22"/>
      <c r="F2" s="10" t="s">
        <v>280</v>
      </c>
      <c r="G2" s="22"/>
      <c r="I2" s="22"/>
      <c r="J2" s="22"/>
      <c r="K2" s="22"/>
      <c r="L2" s="22"/>
      <c r="M2" s="22"/>
      <c r="N2" s="22"/>
      <c r="O2" s="10"/>
      <c r="P2" s="17"/>
      <c r="Q2" s="10" t="s">
        <v>280</v>
      </c>
    </row>
    <row r="3" spans="1:25" s="19" customFormat="1" ht="13.5" customHeight="1" x14ac:dyDescent="0.25">
      <c r="B3" s="48"/>
      <c r="C3" s="48"/>
      <c r="D3" s="48"/>
      <c r="E3" s="44" t="s">
        <v>179</v>
      </c>
      <c r="F3" s="44"/>
      <c r="H3" s="48"/>
      <c r="I3" s="48"/>
      <c r="J3" s="48"/>
      <c r="K3" s="48"/>
      <c r="L3" s="48"/>
      <c r="M3" s="48"/>
      <c r="N3" s="48"/>
      <c r="P3" s="44" t="s">
        <v>180</v>
      </c>
    </row>
    <row r="4" spans="1:25" s="28" customFormat="1" ht="13.5" x14ac:dyDescent="0.25">
      <c r="A4" s="135" t="s">
        <v>20</v>
      </c>
      <c r="B4" s="135"/>
      <c r="C4" s="135"/>
      <c r="D4" s="26"/>
      <c r="E4" s="26"/>
      <c r="F4" s="26"/>
      <c r="G4" s="27"/>
      <c r="H4" s="27"/>
      <c r="I4" s="27"/>
      <c r="J4" s="27"/>
      <c r="K4" s="27"/>
      <c r="L4" s="27"/>
      <c r="M4" s="27"/>
      <c r="N4" s="27" t="s">
        <v>157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 t="s">
        <v>157</v>
      </c>
    </row>
    <row r="5" spans="1:25" s="19" customFormat="1" ht="45.75" customHeight="1" x14ac:dyDescent="0.25">
      <c r="A5" s="262" t="s">
        <v>21</v>
      </c>
      <c r="B5" s="262"/>
      <c r="C5" s="263"/>
      <c r="D5" s="136" t="s">
        <v>24</v>
      </c>
      <c r="E5" s="136" t="s">
        <v>25</v>
      </c>
      <c r="F5" s="136" t="s">
        <v>26</v>
      </c>
      <c r="G5" s="137" t="s">
        <v>27</v>
      </c>
      <c r="H5" s="137" t="s">
        <v>28</v>
      </c>
      <c r="I5" s="137" t="s">
        <v>29</v>
      </c>
      <c r="J5" s="137" t="s">
        <v>30</v>
      </c>
      <c r="K5" s="137" t="s">
        <v>31</v>
      </c>
      <c r="L5" s="137" t="s">
        <v>32</v>
      </c>
      <c r="M5" s="137" t="s">
        <v>33</v>
      </c>
      <c r="N5" s="137" t="s">
        <v>34</v>
      </c>
      <c r="O5" s="137" t="s">
        <v>35</v>
      </c>
      <c r="P5" s="137" t="s">
        <v>36</v>
      </c>
      <c r="Q5" s="137" t="s">
        <v>37</v>
      </c>
      <c r="R5" s="137" t="s">
        <v>38</v>
      </c>
      <c r="S5" s="137" t="s">
        <v>39</v>
      </c>
      <c r="T5" s="137" t="s">
        <v>40</v>
      </c>
      <c r="U5" s="137" t="s">
        <v>41</v>
      </c>
      <c r="V5" s="137" t="s">
        <v>42</v>
      </c>
      <c r="W5" s="137" t="s">
        <v>43</v>
      </c>
      <c r="X5" s="137" t="s">
        <v>44</v>
      </c>
      <c r="Y5" s="137" t="s">
        <v>45</v>
      </c>
    </row>
    <row r="6" spans="1:25" s="19" customFormat="1" ht="4.5" customHeight="1" x14ac:dyDescent="0.25">
      <c r="A6" s="30"/>
      <c r="B6" s="31"/>
      <c r="C6" s="32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 s="19" customFormat="1" ht="4.5" hidden="1" customHeight="1" x14ac:dyDescent="0.25">
      <c r="A7" s="37"/>
      <c r="B7" s="138"/>
      <c r="C7" s="29"/>
      <c r="D7" s="139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s="19" customFormat="1" ht="4.5" hidden="1" customHeight="1" x14ac:dyDescent="0.25">
      <c r="A8" s="37"/>
      <c r="B8" s="138"/>
      <c r="C8" s="29"/>
      <c r="D8" s="139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spans="1:25" s="18" customFormat="1" ht="15.95" customHeight="1" x14ac:dyDescent="0.25">
      <c r="A9" s="33" t="s">
        <v>22</v>
      </c>
      <c r="B9" s="54"/>
      <c r="C9" s="141"/>
      <c r="D9" s="57">
        <v>26.610279537208175</v>
      </c>
      <c r="E9" s="58">
        <v>37.835254042431018</v>
      </c>
      <c r="F9" s="58">
        <v>10.501820888442046</v>
      </c>
      <c r="G9" s="58">
        <v>7.3689575741943374</v>
      </c>
      <c r="H9" s="58">
        <v>3.9110033167205636</v>
      </c>
      <c r="I9" s="58">
        <v>7.386639030766565</v>
      </c>
      <c r="J9" s="58">
        <v>6.9195073725832534</v>
      </c>
      <c r="K9" s="58">
        <v>5.9061326568050498</v>
      </c>
      <c r="L9" s="58">
        <v>6.2181009789370991</v>
      </c>
      <c r="M9" s="58">
        <v>3.1087440719566817</v>
      </c>
      <c r="N9" s="58">
        <v>2.8850443532798367</v>
      </c>
      <c r="O9" s="58">
        <v>3.5736335615315751</v>
      </c>
      <c r="P9" s="58">
        <v>2.2804485461540711</v>
      </c>
      <c r="Q9" s="58">
        <v>3.5125830205644872</v>
      </c>
      <c r="R9" s="58">
        <v>4.6988484912472659</v>
      </c>
      <c r="S9" s="58">
        <v>4.0341323286787985</v>
      </c>
      <c r="T9" s="58">
        <v>5.1045019962694234</v>
      </c>
      <c r="U9" s="58">
        <v>28.758438007615503</v>
      </c>
      <c r="V9" s="58">
        <v>5.9634062112663369</v>
      </c>
      <c r="W9" s="58">
        <v>3.3869264918995734</v>
      </c>
      <c r="X9" s="58">
        <v>5.5207917172216661</v>
      </c>
      <c r="Y9" s="58">
        <v>7.4371199106855119</v>
      </c>
    </row>
    <row r="10" spans="1:25" s="19" customFormat="1" ht="15.95" customHeight="1" x14ac:dyDescent="0.25">
      <c r="A10" s="33" t="s">
        <v>46</v>
      </c>
      <c r="B10" s="34"/>
      <c r="C10" s="35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s="19" customFormat="1" ht="15.95" customHeight="1" x14ac:dyDescent="0.25">
      <c r="A11" s="37"/>
      <c r="B11" s="38" t="s">
        <v>47</v>
      </c>
      <c r="C11" s="35"/>
      <c r="D11" s="61">
        <v>15.161266869238679</v>
      </c>
      <c r="E11" s="62">
        <v>26.686562404074689</v>
      </c>
      <c r="F11" s="62">
        <v>5.7055590560637732</v>
      </c>
      <c r="G11" s="62">
        <v>6.1072745933682926</v>
      </c>
      <c r="H11" s="62">
        <v>2.9028918008181845</v>
      </c>
      <c r="I11" s="62">
        <v>7.9031063071297627</v>
      </c>
      <c r="J11" s="62">
        <v>5.0917534784147271</v>
      </c>
      <c r="K11" s="62">
        <v>6.2427822878067936</v>
      </c>
      <c r="L11" s="62">
        <v>7.8246325675514159</v>
      </c>
      <c r="M11" s="62">
        <v>2.8354066322068312</v>
      </c>
      <c r="N11" s="62">
        <v>2.7634924500898781</v>
      </c>
      <c r="O11" s="62">
        <v>3.297645892899427</v>
      </c>
      <c r="P11" s="62">
        <v>1.3483980052448785</v>
      </c>
      <c r="Q11" s="62">
        <v>3.4576741903040404</v>
      </c>
      <c r="R11" s="62">
        <v>4.6581316177785448</v>
      </c>
      <c r="S11" s="62">
        <v>4.0850417102603442</v>
      </c>
      <c r="T11" s="62">
        <v>5.3330976500931921</v>
      </c>
      <c r="U11" s="62">
        <v>20.183310481157772</v>
      </c>
      <c r="V11" s="62">
        <v>5.3490769566174219</v>
      </c>
      <c r="W11" s="62">
        <v>3.0544027055193332</v>
      </c>
      <c r="X11" s="62">
        <v>2.4462843321366559</v>
      </c>
      <c r="Y11" s="62">
        <v>3.8126117572370655</v>
      </c>
    </row>
    <row r="12" spans="1:25" s="19" customFormat="1" ht="15.95" customHeight="1" x14ac:dyDescent="0.25">
      <c r="A12" s="37"/>
      <c r="B12" s="38" t="s">
        <v>48</v>
      </c>
      <c r="C12" s="35"/>
      <c r="D12" s="61">
        <v>38.870451205694401</v>
      </c>
      <c r="E12" s="62">
        <v>47.694595753387567</v>
      </c>
      <c r="F12" s="62">
        <v>15.103609221297289</v>
      </c>
      <c r="G12" s="62">
        <v>8.6830237946534936</v>
      </c>
      <c r="H12" s="62">
        <v>4.8827039257071831</v>
      </c>
      <c r="I12" s="62">
        <v>6.8923433346238561</v>
      </c>
      <c r="J12" s="62">
        <v>8.5045555773774755</v>
      </c>
      <c r="K12" s="62">
        <v>5.588984743233131</v>
      </c>
      <c r="L12" s="62">
        <v>4.5903220239330347</v>
      </c>
      <c r="M12" s="62">
        <v>3.4189359078226889</v>
      </c>
      <c r="N12" s="62">
        <v>3.0253917534392141</v>
      </c>
      <c r="O12" s="62">
        <v>3.858065773659265</v>
      </c>
      <c r="P12" s="62">
        <v>3.3097446408071729</v>
      </c>
      <c r="Q12" s="62">
        <v>3.5729786474112295</v>
      </c>
      <c r="R12" s="62">
        <v>4.7448710937616916</v>
      </c>
      <c r="S12" s="62">
        <v>3.9856771254420216</v>
      </c>
      <c r="T12" s="62">
        <v>4.9006741270469858</v>
      </c>
      <c r="U12" s="62">
        <v>36.344998323250657</v>
      </c>
      <c r="V12" s="62">
        <v>6.5675752019526605</v>
      </c>
      <c r="W12" s="62">
        <v>3.6706519211245698</v>
      </c>
      <c r="X12" s="62">
        <v>8.5607044591654695</v>
      </c>
      <c r="Y12" s="62">
        <v>13.354908226813755</v>
      </c>
    </row>
    <row r="13" spans="1:25" s="19" customFormat="1" ht="15.95" customHeight="1" x14ac:dyDescent="0.25">
      <c r="A13" s="37" t="s">
        <v>49</v>
      </c>
      <c r="B13" s="38"/>
      <c r="C13" s="35"/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s="19" customFormat="1" ht="15.95" customHeight="1" x14ac:dyDescent="0.25">
      <c r="A14" s="37"/>
      <c r="B14" s="38" t="s">
        <v>107</v>
      </c>
      <c r="C14" s="35"/>
      <c r="D14" s="61">
        <v>75.233569350638916</v>
      </c>
      <c r="E14" s="62">
        <v>64.180218913952999</v>
      </c>
      <c r="F14" s="62">
        <v>47.82362815001197</v>
      </c>
      <c r="G14" s="62">
        <v>46.649073085394967</v>
      </c>
      <c r="H14" s="62">
        <v>28.958442622588546</v>
      </c>
      <c r="I14" s="62">
        <v>43.918241241056826</v>
      </c>
      <c r="J14" s="62">
        <v>38.40108338125129</v>
      </c>
      <c r="K14" s="62">
        <v>41.999582604346195</v>
      </c>
      <c r="L14" s="62">
        <v>44.413683459415246</v>
      </c>
      <c r="M14" s="62">
        <v>40.747834862824618</v>
      </c>
      <c r="N14" s="62">
        <v>44.826727697703141</v>
      </c>
      <c r="O14" s="62">
        <v>48.294763933783891</v>
      </c>
      <c r="P14" s="62">
        <v>19.475088426953494</v>
      </c>
      <c r="Q14" s="62">
        <v>24.837629134870308</v>
      </c>
      <c r="R14" s="62">
        <v>25.29742440469002</v>
      </c>
      <c r="S14" s="62">
        <v>21.847854875912073</v>
      </c>
      <c r="T14" s="62">
        <v>58.428931024827229</v>
      </c>
      <c r="U14" s="62">
        <v>80.323449536288535</v>
      </c>
      <c r="V14" s="62">
        <v>37.919029863156133</v>
      </c>
      <c r="W14" s="62">
        <v>16.773079013345527</v>
      </c>
      <c r="X14" s="62">
        <v>38.834301380589103</v>
      </c>
      <c r="Y14" s="62">
        <v>87.559229453319062</v>
      </c>
    </row>
    <row r="15" spans="1:25" s="19" customFormat="1" ht="15.95" customHeight="1" x14ac:dyDescent="0.25">
      <c r="A15" s="37"/>
      <c r="B15" s="38" t="s">
        <v>108</v>
      </c>
      <c r="C15" s="35"/>
      <c r="D15" s="61">
        <v>51.229824678296289</v>
      </c>
      <c r="E15" s="62">
        <v>47.50635202500019</v>
      </c>
      <c r="F15" s="62">
        <v>22.543593026200046</v>
      </c>
      <c r="G15" s="62">
        <v>15.970856199768049</v>
      </c>
      <c r="H15" s="62">
        <v>17.470759088686176</v>
      </c>
      <c r="I15" s="62">
        <v>7.1722717238492351</v>
      </c>
      <c r="J15" s="62">
        <v>17.392877523718777</v>
      </c>
      <c r="K15" s="62">
        <v>10.24308802516151</v>
      </c>
      <c r="L15" s="62">
        <v>46.050509916999616</v>
      </c>
      <c r="M15" s="62">
        <v>12.139208281349781</v>
      </c>
      <c r="N15" s="62">
        <v>7.2979225531972594</v>
      </c>
      <c r="O15" s="62">
        <v>22.907465217065958</v>
      </c>
      <c r="P15" s="62">
        <v>21.535060817714886</v>
      </c>
      <c r="Q15" s="62">
        <v>72.741358526338672</v>
      </c>
      <c r="R15" s="62">
        <v>21.830483556144689</v>
      </c>
      <c r="S15" s="62">
        <v>1.5018961487607327</v>
      </c>
      <c r="T15" s="62">
        <v>10.379721725451617</v>
      </c>
      <c r="U15" s="62">
        <v>54.411179778273365</v>
      </c>
      <c r="V15" s="62">
        <v>26.469789546231127</v>
      </c>
      <c r="W15" s="62">
        <v>11.154076149091424</v>
      </c>
      <c r="X15" s="62">
        <v>20.200576663826666</v>
      </c>
      <c r="Y15" s="62">
        <v>10.570343803861185</v>
      </c>
    </row>
    <row r="16" spans="1:25" s="19" customFormat="1" ht="15.95" customHeight="1" x14ac:dyDescent="0.25">
      <c r="A16" s="37"/>
      <c r="B16" s="38" t="s">
        <v>109</v>
      </c>
      <c r="C16" s="35"/>
      <c r="D16" s="61">
        <v>28.294633937120356</v>
      </c>
      <c r="E16" s="62">
        <v>48.168928559176656</v>
      </c>
      <c r="F16" s="62">
        <v>9.337032620202514</v>
      </c>
      <c r="G16" s="62">
        <v>11.457865744808466</v>
      </c>
      <c r="H16" s="62">
        <v>2.6602447840907253</v>
      </c>
      <c r="I16" s="62">
        <v>8.9798348906643088</v>
      </c>
      <c r="J16" s="62">
        <v>13.204689239131028</v>
      </c>
      <c r="K16" s="62">
        <v>8.992403775941515</v>
      </c>
      <c r="L16" s="62">
        <v>5.8326226877108311</v>
      </c>
      <c r="M16" s="62">
        <v>3.6864007883332901</v>
      </c>
      <c r="N16" s="62">
        <v>2.0518374068367606</v>
      </c>
      <c r="O16" s="62">
        <v>2.1104885480954652</v>
      </c>
      <c r="P16" s="62">
        <v>0.50463258414541168</v>
      </c>
      <c r="Q16" s="62">
        <v>2.5371579496303358</v>
      </c>
      <c r="R16" s="62">
        <v>2.4687481928393518</v>
      </c>
      <c r="S16" s="62">
        <v>8.2889721530891727</v>
      </c>
      <c r="T16" s="62">
        <v>3.1374723886069864</v>
      </c>
      <c r="U16" s="62">
        <v>44.442289558374767</v>
      </c>
      <c r="V16" s="62">
        <v>3.6925197648737695</v>
      </c>
      <c r="W16" s="62">
        <v>11.81140083719063</v>
      </c>
      <c r="X16" s="62">
        <v>1.9517143630447864</v>
      </c>
      <c r="Y16" s="62">
        <v>4.2068438292248231</v>
      </c>
    </row>
    <row r="17" spans="1:25" s="19" customFormat="1" ht="15.95" customHeight="1" x14ac:dyDescent="0.25">
      <c r="A17" s="33"/>
      <c r="B17" s="38" t="s">
        <v>110</v>
      </c>
      <c r="C17" s="35"/>
      <c r="D17" s="61">
        <v>23.39132701809892</v>
      </c>
      <c r="E17" s="62">
        <v>39.471636849342019</v>
      </c>
      <c r="F17" s="62">
        <v>8.7631479984323573</v>
      </c>
      <c r="G17" s="62">
        <v>2.0230104484129612</v>
      </c>
      <c r="H17" s="62">
        <v>4.636360006369622</v>
      </c>
      <c r="I17" s="62">
        <v>8.6080842732274743</v>
      </c>
      <c r="J17" s="62">
        <v>2.7016930698810246</v>
      </c>
      <c r="K17" s="62">
        <v>0.315621797385364</v>
      </c>
      <c r="L17" s="62">
        <v>1.3539359278839911</v>
      </c>
      <c r="M17" s="62">
        <v>0.24751938596458159</v>
      </c>
      <c r="N17" s="62">
        <v>1.1082040509194102</v>
      </c>
      <c r="O17" s="62">
        <v>0.28745460117160038</v>
      </c>
      <c r="P17" s="62">
        <v>0.43024820349431725</v>
      </c>
      <c r="Q17" s="62">
        <v>0.41349507309807371</v>
      </c>
      <c r="R17" s="62">
        <v>7.6020985445603149</v>
      </c>
      <c r="S17" s="62">
        <v>3.1689964647523907</v>
      </c>
      <c r="T17" s="62">
        <v>3.1309581777063591</v>
      </c>
      <c r="U17" s="62">
        <v>23.726131727858398</v>
      </c>
      <c r="V17" s="62">
        <v>2.1064443593405313</v>
      </c>
      <c r="W17" s="62">
        <v>0.16448923469596005</v>
      </c>
      <c r="X17" s="62">
        <v>0.95430424364321698</v>
      </c>
      <c r="Y17" s="62">
        <v>16.825100211173478</v>
      </c>
    </row>
    <row r="18" spans="1:25" s="19" customFormat="1" ht="15.95" customHeight="1" x14ac:dyDescent="0.25">
      <c r="A18" s="37"/>
      <c r="B18" s="38" t="s">
        <v>111</v>
      </c>
      <c r="C18" s="35"/>
      <c r="D18" s="61">
        <v>19.977060752848413</v>
      </c>
      <c r="E18" s="62">
        <v>34.006175910720394</v>
      </c>
      <c r="F18" s="62">
        <v>7.3162498269259428</v>
      </c>
      <c r="G18" s="62">
        <v>3.8322357812195076</v>
      </c>
      <c r="H18" s="62">
        <v>3.371638773170301</v>
      </c>
      <c r="I18" s="62">
        <v>4.9080003948354323</v>
      </c>
      <c r="J18" s="62">
        <v>6.6876877218073814</v>
      </c>
      <c r="K18" s="62">
        <v>2.5858417610374369</v>
      </c>
      <c r="L18" s="62">
        <v>6.1351588979789842</v>
      </c>
      <c r="M18" s="62">
        <v>0.26818473116304742</v>
      </c>
      <c r="N18" s="62">
        <v>1.133669694781825</v>
      </c>
      <c r="O18" s="62">
        <v>2.4151935894958476</v>
      </c>
      <c r="P18" s="62">
        <v>0</v>
      </c>
      <c r="Q18" s="62">
        <v>3.1737994659366677</v>
      </c>
      <c r="R18" s="62">
        <v>6.3752302451731353</v>
      </c>
      <c r="S18" s="62">
        <v>0.76391205102854376</v>
      </c>
      <c r="T18" s="62">
        <v>1.5484313395410625</v>
      </c>
      <c r="U18" s="62">
        <v>10.524777989232671</v>
      </c>
      <c r="V18" s="62">
        <v>4.0152468331925526</v>
      </c>
      <c r="W18" s="62">
        <v>0.85956509544600945</v>
      </c>
      <c r="X18" s="62">
        <v>6.5198762976722469</v>
      </c>
      <c r="Y18" s="62">
        <v>2.9577511857874628</v>
      </c>
    </row>
    <row r="19" spans="1:25" s="19" customFormat="1" ht="15.95" customHeight="1" x14ac:dyDescent="0.25">
      <c r="A19" s="37"/>
      <c r="B19" s="38" t="s">
        <v>112</v>
      </c>
      <c r="C19" s="35"/>
      <c r="D19" s="61">
        <v>20.91673796295737</v>
      </c>
      <c r="E19" s="62">
        <v>30.643625973939002</v>
      </c>
      <c r="F19" s="62">
        <v>10.197052082223635</v>
      </c>
      <c r="G19" s="62">
        <v>4.9729978592205821</v>
      </c>
      <c r="H19" s="62">
        <v>1.2275396264189069</v>
      </c>
      <c r="I19" s="62">
        <v>4.5540502598872505</v>
      </c>
      <c r="J19" s="62">
        <v>4.0423998668115466</v>
      </c>
      <c r="K19" s="62">
        <v>6.5734072551543345</v>
      </c>
      <c r="L19" s="62">
        <v>3.0936729529176796</v>
      </c>
      <c r="M19" s="62">
        <v>1.831513840601718</v>
      </c>
      <c r="N19" s="62">
        <v>1.3997320614084281</v>
      </c>
      <c r="O19" s="62">
        <v>0.78897787740474701</v>
      </c>
      <c r="P19" s="62">
        <v>5.6268972480717965</v>
      </c>
      <c r="Q19" s="62">
        <v>1.774706691391327</v>
      </c>
      <c r="R19" s="62">
        <v>2.7662408319424312</v>
      </c>
      <c r="S19" s="62">
        <v>3.2747500573840607</v>
      </c>
      <c r="T19" s="62">
        <v>2.6309050300164785</v>
      </c>
      <c r="U19" s="62">
        <v>25.409912194095956</v>
      </c>
      <c r="V19" s="62">
        <v>2.6403710448200726</v>
      </c>
      <c r="W19" s="62">
        <v>1.3386663106215773</v>
      </c>
      <c r="X19" s="62">
        <v>3.1218259822570444</v>
      </c>
      <c r="Y19" s="62">
        <v>2.853600086627047</v>
      </c>
    </row>
    <row r="20" spans="1:25" s="19" customFormat="1" ht="15.95" customHeight="1" x14ac:dyDescent="0.25">
      <c r="A20" s="37"/>
      <c r="B20" s="38" t="s">
        <v>113</v>
      </c>
      <c r="C20" s="35"/>
      <c r="D20" s="61">
        <v>22.38819261726718</v>
      </c>
      <c r="E20" s="62">
        <v>24.006178334992612</v>
      </c>
      <c r="F20" s="62">
        <v>5.390274722218888</v>
      </c>
      <c r="G20" s="62">
        <v>8.6884152591361818</v>
      </c>
      <c r="H20" s="62">
        <v>1.5118892189831654</v>
      </c>
      <c r="I20" s="62">
        <v>5.2655940980449385</v>
      </c>
      <c r="J20" s="62">
        <v>1.2255123967291119</v>
      </c>
      <c r="K20" s="62">
        <v>0.93306667269272781</v>
      </c>
      <c r="L20" s="62">
        <v>4.9247904496399384</v>
      </c>
      <c r="M20" s="62">
        <v>1.277487014399687</v>
      </c>
      <c r="N20" s="62">
        <v>3.8555812751020069</v>
      </c>
      <c r="O20" s="62">
        <v>2.6043978384692017</v>
      </c>
      <c r="P20" s="62">
        <v>3.461191087866716</v>
      </c>
      <c r="Q20" s="62">
        <v>0.17116239613758144</v>
      </c>
      <c r="R20" s="62">
        <v>2.1996648313167353</v>
      </c>
      <c r="S20" s="62">
        <v>0.77317128982965755</v>
      </c>
      <c r="T20" s="62">
        <v>4.9192937615538685</v>
      </c>
      <c r="U20" s="62">
        <v>18.42437380295133</v>
      </c>
      <c r="V20" s="62">
        <v>9.439112938396633</v>
      </c>
      <c r="W20" s="62">
        <v>5.1780125193307969</v>
      </c>
      <c r="X20" s="62">
        <v>8.0857660356166328</v>
      </c>
      <c r="Y20" s="62">
        <v>1.0713179098124748</v>
      </c>
    </row>
    <row r="21" spans="1:25" s="19" customFormat="1" ht="15.95" customHeight="1" x14ac:dyDescent="0.25">
      <c r="A21" s="37"/>
      <c r="B21" s="38" t="s">
        <v>114</v>
      </c>
      <c r="C21" s="35"/>
      <c r="D21" s="61">
        <v>35.759074832759389</v>
      </c>
      <c r="E21" s="62">
        <v>42.563001313888634</v>
      </c>
      <c r="F21" s="62">
        <v>13.709936830872319</v>
      </c>
      <c r="G21" s="62">
        <v>10.847680384493028</v>
      </c>
      <c r="H21" s="62">
        <v>2.5704970617751979</v>
      </c>
      <c r="I21" s="62">
        <v>8.340731515694932</v>
      </c>
      <c r="J21" s="62">
        <v>4.650072913777108</v>
      </c>
      <c r="K21" s="62">
        <v>9.8064728461328148</v>
      </c>
      <c r="L21" s="62">
        <v>6.6182139602431249</v>
      </c>
      <c r="M21" s="62">
        <v>2.7194371038466545</v>
      </c>
      <c r="N21" s="62">
        <v>3.3662243413943509</v>
      </c>
      <c r="O21" s="62">
        <v>3.6120059980569894</v>
      </c>
      <c r="P21" s="62">
        <v>0.81277649254586637</v>
      </c>
      <c r="Q21" s="62">
        <v>3.6162962934878169</v>
      </c>
      <c r="R21" s="62">
        <v>2.7909052173583544</v>
      </c>
      <c r="S21" s="62">
        <v>7.6238388362883027</v>
      </c>
      <c r="T21" s="62">
        <v>9.019338026301849</v>
      </c>
      <c r="U21" s="62">
        <v>47.560109791495066</v>
      </c>
      <c r="V21" s="62">
        <v>7.6647085530320265</v>
      </c>
      <c r="W21" s="62">
        <v>2.5559939029525514</v>
      </c>
      <c r="X21" s="62">
        <v>11.039105309964025</v>
      </c>
      <c r="Y21" s="62">
        <v>2.4913863842631652</v>
      </c>
    </row>
    <row r="22" spans="1:25" s="19" customFormat="1" ht="15.95" customHeight="1" x14ac:dyDescent="0.25">
      <c r="A22" s="37" t="s">
        <v>50</v>
      </c>
      <c r="B22" s="38"/>
      <c r="C22" s="35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s="19" customFormat="1" ht="15.95" customHeight="1" x14ac:dyDescent="0.25">
      <c r="A23" s="37"/>
      <c r="B23" s="38" t="s">
        <v>3</v>
      </c>
      <c r="C23" s="35"/>
      <c r="D23" s="61">
        <v>26.511047147786034</v>
      </c>
      <c r="E23" s="62">
        <v>37.0929902901023</v>
      </c>
      <c r="F23" s="62">
        <v>12.668661207734493</v>
      </c>
      <c r="G23" s="62">
        <v>8.3565233212803935</v>
      </c>
      <c r="H23" s="62">
        <v>4.8442244332885034</v>
      </c>
      <c r="I23" s="62">
        <v>1.5134793202536987</v>
      </c>
      <c r="J23" s="62">
        <v>6.8807982624182094</v>
      </c>
      <c r="K23" s="62">
        <v>4.9852988650299288</v>
      </c>
      <c r="L23" s="62">
        <v>4.528421583885053</v>
      </c>
      <c r="M23" s="62">
        <v>2.7039697273062226</v>
      </c>
      <c r="N23" s="62">
        <v>3.5715248074106101</v>
      </c>
      <c r="O23" s="62">
        <v>3.2851861672458575</v>
      </c>
      <c r="P23" s="62">
        <v>0.55048689722929645</v>
      </c>
      <c r="Q23" s="62">
        <v>4.1382806613092225</v>
      </c>
      <c r="R23" s="62">
        <v>2.0346922419047813</v>
      </c>
      <c r="S23" s="62">
        <v>9.7524185497585467</v>
      </c>
      <c r="T23" s="62">
        <v>11.721222424758979</v>
      </c>
      <c r="U23" s="62">
        <v>39.638789406333572</v>
      </c>
      <c r="V23" s="62">
        <v>5.8878466557923668</v>
      </c>
      <c r="W23" s="62">
        <v>2.3609118163660701</v>
      </c>
      <c r="X23" s="62">
        <v>16.44907150444002</v>
      </c>
      <c r="Y23" s="62">
        <v>0</v>
      </c>
    </row>
    <row r="24" spans="1:25" s="19" customFormat="1" ht="15.95" customHeight="1" x14ac:dyDescent="0.25">
      <c r="A24" s="37"/>
      <c r="B24" s="38" t="s">
        <v>115</v>
      </c>
      <c r="C24" s="35"/>
      <c r="D24" s="61">
        <v>16.254802320054651</v>
      </c>
      <c r="E24" s="62">
        <v>34.357425574084999</v>
      </c>
      <c r="F24" s="62">
        <v>9.9853557698354329</v>
      </c>
      <c r="G24" s="62">
        <v>4.4692515455323871</v>
      </c>
      <c r="H24" s="62">
        <v>1.6587947866919974</v>
      </c>
      <c r="I24" s="62">
        <v>3.919116438600692</v>
      </c>
      <c r="J24" s="62">
        <v>6.0217678052830088</v>
      </c>
      <c r="K24" s="62">
        <v>12.426300146744339</v>
      </c>
      <c r="L24" s="62">
        <v>6.8732897271088005</v>
      </c>
      <c r="M24" s="62">
        <v>1.5419563268467571</v>
      </c>
      <c r="N24" s="62">
        <v>1.0958363479780755</v>
      </c>
      <c r="O24" s="62">
        <v>2.7886555511356854</v>
      </c>
      <c r="P24" s="62">
        <v>8.5747962323854559</v>
      </c>
      <c r="Q24" s="62">
        <v>2.7860378262206451</v>
      </c>
      <c r="R24" s="62">
        <v>3.9594551662627802</v>
      </c>
      <c r="S24" s="62">
        <v>3.099398652389961</v>
      </c>
      <c r="T24" s="62">
        <v>2.247424469981409</v>
      </c>
      <c r="U24" s="62">
        <v>10.112676080222455</v>
      </c>
      <c r="V24" s="62">
        <v>13.492509471447205</v>
      </c>
      <c r="W24" s="62">
        <v>1.7374352877657517</v>
      </c>
      <c r="X24" s="62">
        <v>10.434108194029429</v>
      </c>
      <c r="Y24" s="62">
        <v>0</v>
      </c>
    </row>
    <row r="25" spans="1:25" s="19" customFormat="1" ht="15.95" customHeight="1" x14ac:dyDescent="0.25">
      <c r="A25" s="37"/>
      <c r="B25" s="38" t="s">
        <v>116</v>
      </c>
      <c r="C25" s="35"/>
      <c r="D25" s="61">
        <v>23.264451169159539</v>
      </c>
      <c r="E25" s="62">
        <v>32.889233204344514</v>
      </c>
      <c r="F25" s="62">
        <v>9.2244069466494025</v>
      </c>
      <c r="G25" s="62">
        <v>11.726449695987684</v>
      </c>
      <c r="H25" s="62">
        <v>4.5660389971269524</v>
      </c>
      <c r="I25" s="62">
        <v>5.9618538266623142</v>
      </c>
      <c r="J25" s="62">
        <v>7.5844543228986252</v>
      </c>
      <c r="K25" s="62">
        <v>11.340492007764555</v>
      </c>
      <c r="L25" s="62">
        <v>9.7589722257079892</v>
      </c>
      <c r="M25" s="62">
        <v>5.3645249087521973</v>
      </c>
      <c r="N25" s="62">
        <v>5.5490852613121779</v>
      </c>
      <c r="O25" s="62">
        <v>5.9062166188061189</v>
      </c>
      <c r="P25" s="62">
        <v>1.1277117093795141</v>
      </c>
      <c r="Q25" s="62">
        <v>4.7563609606486184</v>
      </c>
      <c r="R25" s="62">
        <v>2.7652227336887423</v>
      </c>
      <c r="S25" s="62">
        <v>4.1620833421315231</v>
      </c>
      <c r="T25" s="62">
        <v>6.2653951466019429</v>
      </c>
      <c r="U25" s="62">
        <v>28.749925433230334</v>
      </c>
      <c r="V25" s="62">
        <v>13.034493493476068</v>
      </c>
      <c r="W25" s="62">
        <v>4.5210881870453266</v>
      </c>
      <c r="X25" s="62">
        <v>5.9281288671414227</v>
      </c>
      <c r="Y25" s="62">
        <v>7.7337479493575438</v>
      </c>
    </row>
    <row r="26" spans="1:25" s="19" customFormat="1" ht="15.95" customHeight="1" x14ac:dyDescent="0.25">
      <c r="A26" s="37"/>
      <c r="B26" s="38" t="s">
        <v>51</v>
      </c>
      <c r="C26" s="35"/>
      <c r="D26" s="61">
        <v>24.741745327281627</v>
      </c>
      <c r="E26" s="62">
        <v>27.465942028426092</v>
      </c>
      <c r="F26" s="62">
        <v>11.809086090122653</v>
      </c>
      <c r="G26" s="62">
        <v>5.9177403002259181</v>
      </c>
      <c r="H26" s="62">
        <v>2.8470892514430512</v>
      </c>
      <c r="I26" s="62">
        <v>6.6474679658597262</v>
      </c>
      <c r="J26" s="62">
        <v>11.330756830385637</v>
      </c>
      <c r="K26" s="62">
        <v>6.6809755483637252</v>
      </c>
      <c r="L26" s="62">
        <v>1.0026248238185194</v>
      </c>
      <c r="M26" s="62">
        <v>1.535533385726684</v>
      </c>
      <c r="N26" s="62">
        <v>0.94454802098199597</v>
      </c>
      <c r="O26" s="62">
        <v>1.1790185126354871</v>
      </c>
      <c r="P26" s="62">
        <v>0.73295769370496899</v>
      </c>
      <c r="Q26" s="62">
        <v>2.7422032273616583</v>
      </c>
      <c r="R26" s="62">
        <v>2.0539791763228958</v>
      </c>
      <c r="S26" s="62">
        <v>1.0858771704510353</v>
      </c>
      <c r="T26" s="62">
        <v>3.5763220238998676</v>
      </c>
      <c r="U26" s="62">
        <v>40.865602359743562</v>
      </c>
      <c r="V26" s="62">
        <v>4.8031207484531206</v>
      </c>
      <c r="W26" s="62">
        <v>2.5368662621190112</v>
      </c>
      <c r="X26" s="62">
        <v>3.9373044593941797</v>
      </c>
      <c r="Y26" s="62">
        <v>4.0815592328041381</v>
      </c>
    </row>
    <row r="27" spans="1:25" s="19" customFormat="1" ht="15.95" customHeight="1" x14ac:dyDescent="0.25">
      <c r="A27" s="37"/>
      <c r="B27" s="38" t="s">
        <v>52</v>
      </c>
      <c r="C27" s="35"/>
      <c r="D27" s="61">
        <v>27.87984603949641</v>
      </c>
      <c r="E27" s="62">
        <v>39.217130045369082</v>
      </c>
      <c r="F27" s="62">
        <v>11.236762810059449</v>
      </c>
      <c r="G27" s="62">
        <v>6.7417453251308643</v>
      </c>
      <c r="H27" s="62">
        <v>2.9925472518394063</v>
      </c>
      <c r="I27" s="62">
        <v>9.9682464994378126</v>
      </c>
      <c r="J27" s="62">
        <v>5.4835129900888866</v>
      </c>
      <c r="K27" s="62">
        <v>2.6688944592386501</v>
      </c>
      <c r="L27" s="62">
        <v>3.4873891432028929</v>
      </c>
      <c r="M27" s="62">
        <v>1.9169146991675308</v>
      </c>
      <c r="N27" s="62">
        <v>2.1774355052454779</v>
      </c>
      <c r="O27" s="62">
        <v>3.3725374542461664</v>
      </c>
      <c r="P27" s="62">
        <v>2.2137172206044475</v>
      </c>
      <c r="Q27" s="62">
        <v>2.3313917820824308</v>
      </c>
      <c r="R27" s="62">
        <v>7.4838897277596867</v>
      </c>
      <c r="S27" s="62">
        <v>5.9146057638041629</v>
      </c>
      <c r="T27" s="62">
        <v>3.8162742829380005</v>
      </c>
      <c r="U27" s="62">
        <v>25.060020954095918</v>
      </c>
      <c r="V27" s="62">
        <v>3.1800082939346321</v>
      </c>
      <c r="W27" s="62">
        <v>4.0783896974999339</v>
      </c>
      <c r="X27" s="62">
        <v>3.7231579624474858</v>
      </c>
      <c r="Y27" s="62">
        <v>12.095870265479835</v>
      </c>
    </row>
    <row r="28" spans="1:25" s="19" customFormat="1" ht="15.95" customHeight="1" x14ac:dyDescent="0.25">
      <c r="A28" s="37"/>
      <c r="B28" s="38" t="s">
        <v>4</v>
      </c>
      <c r="C28" s="35"/>
      <c r="D28" s="61">
        <v>35.572122166783821</v>
      </c>
      <c r="E28" s="62">
        <v>45.515615431386706</v>
      </c>
      <c r="F28" s="62">
        <v>9.4129977176129547</v>
      </c>
      <c r="G28" s="62">
        <v>3.4280922225336297</v>
      </c>
      <c r="H28" s="62">
        <v>6.4873601206646985</v>
      </c>
      <c r="I28" s="62">
        <v>8.3730287149623592</v>
      </c>
      <c r="J28" s="62">
        <v>2.6005445410463071</v>
      </c>
      <c r="K28" s="62">
        <v>2.9217602790792743</v>
      </c>
      <c r="L28" s="62">
        <v>11.970713669288131</v>
      </c>
      <c r="M28" s="62">
        <v>1.1623762024120519</v>
      </c>
      <c r="N28" s="62">
        <v>1.1136246776836469</v>
      </c>
      <c r="O28" s="62">
        <v>0.90017891641024228</v>
      </c>
      <c r="P28" s="62">
        <v>0</v>
      </c>
      <c r="Q28" s="62">
        <v>2.6689530559919712</v>
      </c>
      <c r="R28" s="62">
        <v>5.7184967116690464</v>
      </c>
      <c r="S28" s="62">
        <v>0.73176657618478846</v>
      </c>
      <c r="T28" s="62">
        <v>2.1340526460998364</v>
      </c>
      <c r="U28" s="62">
        <v>27.506471459213547</v>
      </c>
      <c r="V28" s="62">
        <v>3.6794542124041358</v>
      </c>
      <c r="W28" s="62">
        <v>0.64825587466874812</v>
      </c>
      <c r="X28" s="62">
        <v>0.94143191933485315</v>
      </c>
      <c r="Y28" s="62">
        <v>0</v>
      </c>
    </row>
    <row r="29" spans="1:25" s="19" customFormat="1" ht="15.95" customHeight="1" x14ac:dyDescent="0.25">
      <c r="A29" s="37"/>
      <c r="B29" s="38" t="s">
        <v>117</v>
      </c>
      <c r="C29" s="35"/>
      <c r="D29" s="61">
        <v>0</v>
      </c>
      <c r="E29" s="62">
        <v>0</v>
      </c>
      <c r="F29" s="62">
        <v>0</v>
      </c>
      <c r="G29" s="62">
        <v>28.201568398024129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19.0276134211617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40.643706476842347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</row>
    <row r="30" spans="1:25" s="19" customFormat="1" ht="15.95" customHeight="1" x14ac:dyDescent="0.25">
      <c r="A30" s="37" t="s">
        <v>53</v>
      </c>
      <c r="B30" s="38"/>
      <c r="C30" s="35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s="19" customFormat="1" ht="15.95" customHeight="1" x14ac:dyDescent="0.25">
      <c r="A31" s="37"/>
      <c r="B31" s="38" t="s">
        <v>54</v>
      </c>
      <c r="C31" s="35"/>
      <c r="D31" s="61">
        <v>27.800365744173899</v>
      </c>
      <c r="E31" s="62">
        <v>0</v>
      </c>
      <c r="F31" s="62">
        <v>0</v>
      </c>
      <c r="G31" s="62">
        <v>0</v>
      </c>
      <c r="H31" s="62">
        <v>0</v>
      </c>
      <c r="I31" s="62">
        <v>2.1941197012973284</v>
      </c>
      <c r="J31" s="62">
        <v>1.9464632857293644</v>
      </c>
      <c r="K31" s="62">
        <v>0</v>
      </c>
      <c r="L31" s="62">
        <v>0</v>
      </c>
      <c r="M31" s="62">
        <v>0</v>
      </c>
      <c r="N31" s="62">
        <v>0.33289574604700489</v>
      </c>
      <c r="O31" s="62">
        <v>0.30295922501669104</v>
      </c>
      <c r="P31" s="62">
        <v>0</v>
      </c>
      <c r="Q31" s="62">
        <v>0</v>
      </c>
      <c r="R31" s="62">
        <v>1.6892180784981015</v>
      </c>
      <c r="S31" s="62">
        <v>0.29728626818700782</v>
      </c>
      <c r="T31" s="62">
        <v>3.5999301718040164</v>
      </c>
      <c r="U31" s="62">
        <v>0</v>
      </c>
      <c r="V31" s="62">
        <v>0</v>
      </c>
      <c r="W31" s="62">
        <v>10.728305983411532</v>
      </c>
      <c r="X31" s="62">
        <v>0</v>
      </c>
      <c r="Y31" s="62">
        <v>0</v>
      </c>
    </row>
    <row r="32" spans="1:25" s="19" customFormat="1" ht="15.95" customHeight="1" x14ac:dyDescent="0.25">
      <c r="A32" s="37"/>
      <c r="B32" s="38" t="s">
        <v>55</v>
      </c>
      <c r="C32" s="35"/>
      <c r="D32" s="61">
        <v>13.495195027956607</v>
      </c>
      <c r="E32" s="62">
        <v>29.290513009535019</v>
      </c>
      <c r="F32" s="62">
        <v>6.1544012260041407</v>
      </c>
      <c r="G32" s="62">
        <v>3.7409471303599617</v>
      </c>
      <c r="H32" s="62">
        <v>2.3224727236678469</v>
      </c>
      <c r="I32" s="62">
        <v>3.2753099710643649</v>
      </c>
      <c r="J32" s="62">
        <v>4.7795499926134486</v>
      </c>
      <c r="K32" s="62">
        <v>1.9787538183597293</v>
      </c>
      <c r="L32" s="62">
        <v>6.3333828655997904</v>
      </c>
      <c r="M32" s="62">
        <v>0.50338355164500326</v>
      </c>
      <c r="N32" s="62">
        <v>0.25920706045586028</v>
      </c>
      <c r="O32" s="62">
        <v>2.0047599757765213</v>
      </c>
      <c r="P32" s="62">
        <v>5.6442868436768716</v>
      </c>
      <c r="Q32" s="62">
        <v>1.1933710796799153</v>
      </c>
      <c r="R32" s="62">
        <v>11.130742436790122</v>
      </c>
      <c r="S32" s="62">
        <v>10.89320244345806</v>
      </c>
      <c r="T32" s="62">
        <v>3.0607418092665486</v>
      </c>
      <c r="U32" s="62">
        <v>19.469024046376983</v>
      </c>
      <c r="V32" s="62">
        <v>3.0359704143926574</v>
      </c>
      <c r="W32" s="62">
        <v>1.6718515836139631</v>
      </c>
      <c r="X32" s="62">
        <v>2.0833986030349174</v>
      </c>
      <c r="Y32" s="62">
        <v>2.8326320401963234</v>
      </c>
    </row>
    <row r="33" spans="1:25" s="19" customFormat="1" ht="15.95" customHeight="1" x14ac:dyDescent="0.25">
      <c r="A33" s="37"/>
      <c r="B33" s="38" t="s">
        <v>211</v>
      </c>
      <c r="C33" s="35"/>
      <c r="D33" s="61">
        <v>17.292059712689902</v>
      </c>
      <c r="E33" s="62">
        <v>32.115379750721345</v>
      </c>
      <c r="F33" s="62">
        <v>11.554078551634108</v>
      </c>
      <c r="G33" s="62">
        <v>1.3444677257270581</v>
      </c>
      <c r="H33" s="62">
        <v>1.3623505476050499</v>
      </c>
      <c r="I33" s="62">
        <v>0.88852541354282799</v>
      </c>
      <c r="J33" s="62">
        <v>3.4464940147007659</v>
      </c>
      <c r="K33" s="62">
        <v>6.5005391715186622</v>
      </c>
      <c r="L33" s="62">
        <v>1.3008750861652707</v>
      </c>
      <c r="M33" s="62">
        <v>0</v>
      </c>
      <c r="N33" s="62">
        <v>0.35413062270196621</v>
      </c>
      <c r="O33" s="62">
        <v>1.250442573710137</v>
      </c>
      <c r="P33" s="62">
        <v>1.0006995830488383</v>
      </c>
      <c r="Q33" s="62">
        <v>4.0859199459686986</v>
      </c>
      <c r="R33" s="62">
        <v>5.9283974141886659</v>
      </c>
      <c r="S33" s="62">
        <v>4.0205691963945052</v>
      </c>
      <c r="T33" s="62">
        <v>4.1645983818295838</v>
      </c>
      <c r="U33" s="62">
        <v>37.381036096742051</v>
      </c>
      <c r="V33" s="62">
        <v>2.9890500929936819</v>
      </c>
      <c r="W33" s="62">
        <v>0.46002682270032896</v>
      </c>
      <c r="X33" s="62">
        <v>3.2386070216741816</v>
      </c>
      <c r="Y33" s="62">
        <v>0</v>
      </c>
    </row>
    <row r="34" spans="1:25" s="19" customFormat="1" ht="15.95" customHeight="1" x14ac:dyDescent="0.25">
      <c r="A34" s="37"/>
      <c r="B34" s="38" t="s">
        <v>212</v>
      </c>
      <c r="C34" s="35"/>
      <c r="D34" s="61">
        <v>11.020866536185709</v>
      </c>
      <c r="E34" s="62">
        <v>27.044978225889885</v>
      </c>
      <c r="F34" s="62">
        <v>0</v>
      </c>
      <c r="G34" s="62">
        <v>5.5689595867573543</v>
      </c>
      <c r="H34" s="62">
        <v>5.5649313061231558</v>
      </c>
      <c r="I34" s="62">
        <v>2.6029675126920062</v>
      </c>
      <c r="J34" s="62">
        <v>0.63009238095609965</v>
      </c>
      <c r="K34" s="62">
        <v>3.6727566232179392</v>
      </c>
      <c r="L34" s="62">
        <v>11.536814465958676</v>
      </c>
      <c r="M34" s="62">
        <v>4.1398980869250082</v>
      </c>
      <c r="N34" s="62">
        <v>4.4239750393415678</v>
      </c>
      <c r="O34" s="62">
        <v>0</v>
      </c>
      <c r="P34" s="62">
        <v>10.045629604356144</v>
      </c>
      <c r="Q34" s="62">
        <v>0</v>
      </c>
      <c r="R34" s="62">
        <v>1.1717277478243071</v>
      </c>
      <c r="S34" s="62">
        <v>0</v>
      </c>
      <c r="T34" s="62">
        <v>8.2498422293278928</v>
      </c>
      <c r="U34" s="62">
        <v>9.6909618642738238</v>
      </c>
      <c r="V34" s="62">
        <v>7.3159101710776193</v>
      </c>
      <c r="W34" s="62">
        <v>11.879072010873251</v>
      </c>
      <c r="X34" s="62">
        <v>0.48156881169164339</v>
      </c>
      <c r="Y34" s="62">
        <v>0</v>
      </c>
    </row>
    <row r="35" spans="1:25" s="19" customFormat="1" ht="15.95" customHeight="1" x14ac:dyDescent="0.25">
      <c r="A35" s="37"/>
      <c r="B35" s="38" t="s">
        <v>56</v>
      </c>
      <c r="C35" s="35"/>
      <c r="D35" s="61">
        <v>30.553436066358078</v>
      </c>
      <c r="E35" s="62">
        <v>39.453910217699111</v>
      </c>
      <c r="F35" s="62">
        <v>9.3476919886771039</v>
      </c>
      <c r="G35" s="62">
        <v>5.723725025486508</v>
      </c>
      <c r="H35" s="62">
        <v>4.0435227344990503</v>
      </c>
      <c r="I35" s="62">
        <v>8.7278308797834221</v>
      </c>
      <c r="J35" s="62">
        <v>5.3946918389639249</v>
      </c>
      <c r="K35" s="62">
        <v>4.1866212260390414</v>
      </c>
      <c r="L35" s="62">
        <v>1.9385333355007457</v>
      </c>
      <c r="M35" s="62">
        <v>1.7042677531639419</v>
      </c>
      <c r="N35" s="62">
        <v>1.7005810764587717</v>
      </c>
      <c r="O35" s="62">
        <v>4.7050260629594032</v>
      </c>
      <c r="P35" s="62">
        <v>0.96794596400773514</v>
      </c>
      <c r="Q35" s="62">
        <v>1.6064050683466469</v>
      </c>
      <c r="R35" s="62">
        <v>2.3069450852192284</v>
      </c>
      <c r="S35" s="62">
        <v>2.1175232975627338</v>
      </c>
      <c r="T35" s="62">
        <v>4.0714079535928187</v>
      </c>
      <c r="U35" s="62">
        <v>18.858150877263505</v>
      </c>
      <c r="V35" s="62">
        <v>2.6536218997540173</v>
      </c>
      <c r="W35" s="62">
        <v>0.46820105065241396</v>
      </c>
      <c r="X35" s="62">
        <v>5.1832910023966594</v>
      </c>
      <c r="Y35" s="62">
        <v>1.7375796086673503</v>
      </c>
    </row>
    <row r="36" spans="1:25" s="19" customFormat="1" ht="15.95" customHeight="1" x14ac:dyDescent="0.25">
      <c r="A36" s="37"/>
      <c r="B36" s="38" t="s">
        <v>57</v>
      </c>
      <c r="C36" s="35"/>
      <c r="D36" s="61">
        <v>23.715708427959754</v>
      </c>
      <c r="E36" s="62">
        <v>36.649931029264053</v>
      </c>
      <c r="F36" s="62">
        <v>16.295304753220247</v>
      </c>
      <c r="G36" s="62">
        <v>3.5117913609321851</v>
      </c>
      <c r="H36" s="62">
        <v>1.4243487311571648</v>
      </c>
      <c r="I36" s="62">
        <v>11.122721943846443</v>
      </c>
      <c r="J36" s="62">
        <v>3.543364062069819</v>
      </c>
      <c r="K36" s="62">
        <v>5.7257476389644655</v>
      </c>
      <c r="L36" s="62">
        <v>7.7539081503319736</v>
      </c>
      <c r="M36" s="62">
        <v>0.71592581935206356</v>
      </c>
      <c r="N36" s="62">
        <v>1.105469177061968</v>
      </c>
      <c r="O36" s="62">
        <v>1.0508870509628427</v>
      </c>
      <c r="P36" s="62">
        <v>0</v>
      </c>
      <c r="Q36" s="62">
        <v>2.0793174533320622</v>
      </c>
      <c r="R36" s="62">
        <v>12.185940601325571</v>
      </c>
      <c r="S36" s="62">
        <v>1.0645241161518713</v>
      </c>
      <c r="T36" s="62">
        <v>1.1177944442126155</v>
      </c>
      <c r="U36" s="62">
        <v>10.036541494925714</v>
      </c>
      <c r="V36" s="62">
        <v>13.669468556140467</v>
      </c>
      <c r="W36" s="62">
        <v>1.4158925381119785</v>
      </c>
      <c r="X36" s="62">
        <v>0.97297862452611084</v>
      </c>
      <c r="Y36" s="62">
        <v>9.4912999498915305</v>
      </c>
    </row>
    <row r="37" spans="1:25" s="19" customFormat="1" ht="15.95" customHeight="1" x14ac:dyDescent="0.25">
      <c r="A37" s="37"/>
      <c r="B37" s="38" t="s">
        <v>204</v>
      </c>
      <c r="C37" s="35"/>
      <c r="D37" s="61">
        <v>17.474863870163613</v>
      </c>
      <c r="E37" s="62">
        <v>86.78174212110271</v>
      </c>
      <c r="F37" s="62">
        <v>25.354872237535336</v>
      </c>
      <c r="G37" s="62">
        <v>13.864059484476188</v>
      </c>
      <c r="H37" s="62">
        <v>19.117461595835113</v>
      </c>
      <c r="I37" s="62">
        <v>2.1245974901907103</v>
      </c>
      <c r="J37" s="62">
        <v>9.7763946217423445</v>
      </c>
      <c r="K37" s="62">
        <v>11.320501511578101</v>
      </c>
      <c r="L37" s="62">
        <v>50</v>
      </c>
      <c r="M37" s="62">
        <v>25.73145045540705</v>
      </c>
      <c r="N37" s="62">
        <v>0</v>
      </c>
      <c r="O37" s="62">
        <v>0</v>
      </c>
      <c r="P37" s="62">
        <v>9.081705782755618</v>
      </c>
      <c r="Q37" s="62">
        <v>0</v>
      </c>
      <c r="R37" s="62">
        <v>0</v>
      </c>
      <c r="S37" s="62">
        <v>0</v>
      </c>
      <c r="T37" s="62">
        <v>7.4595524346260023</v>
      </c>
      <c r="U37" s="62">
        <v>9.9544591187380576</v>
      </c>
      <c r="V37" s="62">
        <v>100</v>
      </c>
      <c r="W37" s="62">
        <v>59.374070247025116</v>
      </c>
      <c r="X37" s="62">
        <v>0</v>
      </c>
      <c r="Y37" s="62">
        <v>0</v>
      </c>
    </row>
    <row r="38" spans="1:25" s="19" customFormat="1" ht="15.95" customHeight="1" x14ac:dyDescent="0.25">
      <c r="A38" s="37"/>
      <c r="B38" s="38" t="s">
        <v>58</v>
      </c>
      <c r="C38" s="35"/>
      <c r="D38" s="61">
        <v>30.761932727836029</v>
      </c>
      <c r="E38" s="62">
        <v>41.50558134303931</v>
      </c>
      <c r="F38" s="62">
        <v>8.3726414243828629</v>
      </c>
      <c r="G38" s="62">
        <v>6.7192671605696468</v>
      </c>
      <c r="H38" s="62">
        <v>4.6602290796622796</v>
      </c>
      <c r="I38" s="62">
        <v>1.6126161437019322</v>
      </c>
      <c r="J38" s="62">
        <v>18.258672860074086</v>
      </c>
      <c r="K38" s="62">
        <v>2.8350629124639282</v>
      </c>
      <c r="L38" s="62">
        <v>2.5818443411894458</v>
      </c>
      <c r="M38" s="62">
        <v>3.935559456171454</v>
      </c>
      <c r="N38" s="62">
        <v>2.9230141680267279</v>
      </c>
      <c r="O38" s="62">
        <v>4.3186809014166254</v>
      </c>
      <c r="P38" s="62">
        <v>1.1591325866300821</v>
      </c>
      <c r="Q38" s="62">
        <v>3.3113613316053319</v>
      </c>
      <c r="R38" s="62">
        <v>4.1660973912515908</v>
      </c>
      <c r="S38" s="62">
        <v>9.3780588650462366</v>
      </c>
      <c r="T38" s="62">
        <v>7.4385302690546782</v>
      </c>
      <c r="U38" s="62">
        <v>50.460673969193145</v>
      </c>
      <c r="V38" s="62">
        <v>7.8817736021081037</v>
      </c>
      <c r="W38" s="62">
        <v>5.6461407427268311</v>
      </c>
      <c r="X38" s="62">
        <v>13.893314613984074</v>
      </c>
      <c r="Y38" s="62">
        <v>0</v>
      </c>
    </row>
    <row r="39" spans="1:25" s="19" customFormat="1" ht="15.95" customHeight="1" x14ac:dyDescent="0.25">
      <c r="A39" s="37"/>
      <c r="B39" s="38" t="s">
        <v>59</v>
      </c>
      <c r="C39" s="35"/>
      <c r="D39" s="61">
        <v>33.470229713971811</v>
      </c>
      <c r="E39" s="62">
        <v>34.188707499081879</v>
      </c>
      <c r="F39" s="62">
        <v>11.124979848975721</v>
      </c>
      <c r="G39" s="62">
        <v>14.295183750623588</v>
      </c>
      <c r="H39" s="62">
        <v>2.5472188494071193</v>
      </c>
      <c r="I39" s="62">
        <v>9.7399763230873226</v>
      </c>
      <c r="J39" s="62">
        <v>2.5904483466629267</v>
      </c>
      <c r="K39" s="62">
        <v>6.8787982785147337</v>
      </c>
      <c r="L39" s="62">
        <v>5.1436916441338862</v>
      </c>
      <c r="M39" s="62">
        <v>2.7384546855885592</v>
      </c>
      <c r="N39" s="62">
        <v>2.9385679654956585</v>
      </c>
      <c r="O39" s="62">
        <v>1.4489541680695894</v>
      </c>
      <c r="P39" s="62">
        <v>0.68405370491010919</v>
      </c>
      <c r="Q39" s="62">
        <v>2.9020183209300408</v>
      </c>
      <c r="R39" s="62">
        <v>2.9337118049403568</v>
      </c>
      <c r="S39" s="62">
        <v>2.9388923974687544</v>
      </c>
      <c r="T39" s="62">
        <v>5.8231273122857248</v>
      </c>
      <c r="U39" s="62">
        <v>45.688039612308899</v>
      </c>
      <c r="V39" s="62">
        <v>7.5230508071337798</v>
      </c>
      <c r="W39" s="62">
        <v>2.6077448541385801</v>
      </c>
      <c r="X39" s="62">
        <v>8.0176112290342356</v>
      </c>
      <c r="Y39" s="62">
        <v>5.9203236835358508</v>
      </c>
    </row>
    <row r="40" spans="1:25" s="19" customFormat="1" ht="15.95" customHeight="1" x14ac:dyDescent="0.25">
      <c r="A40" s="37"/>
      <c r="B40" s="38" t="s">
        <v>61</v>
      </c>
      <c r="C40" s="35"/>
      <c r="D40" s="61">
        <v>63.234747903025962</v>
      </c>
      <c r="E40" s="62">
        <v>62.865895440096232</v>
      </c>
      <c r="F40" s="62">
        <v>39.086896542975666</v>
      </c>
      <c r="G40" s="62">
        <v>34.026995644509434</v>
      </c>
      <c r="H40" s="62">
        <v>18.556541574960541</v>
      </c>
      <c r="I40" s="62">
        <v>33.772697156162799</v>
      </c>
      <c r="J40" s="62">
        <v>39.282105853377246</v>
      </c>
      <c r="K40" s="62">
        <v>34.283618652520353</v>
      </c>
      <c r="L40" s="62">
        <v>49.768613956551363</v>
      </c>
      <c r="M40" s="62">
        <v>40.117252223352068</v>
      </c>
      <c r="N40" s="62">
        <v>37.032893725720768</v>
      </c>
      <c r="O40" s="62">
        <v>23.556882386131662</v>
      </c>
      <c r="P40" s="62">
        <v>14.539970771873683</v>
      </c>
      <c r="Q40" s="62">
        <v>28.923601015722504</v>
      </c>
      <c r="R40" s="62">
        <v>12.97266124865053</v>
      </c>
      <c r="S40" s="62">
        <v>4.7880814876926685</v>
      </c>
      <c r="T40" s="62">
        <v>40.081508146332418</v>
      </c>
      <c r="U40" s="62">
        <v>70.158081220485272</v>
      </c>
      <c r="V40" s="62">
        <v>25.540426611339338</v>
      </c>
      <c r="W40" s="62">
        <v>17.685628756503512</v>
      </c>
      <c r="X40" s="62">
        <v>13.980216295674117</v>
      </c>
      <c r="Y40" s="62">
        <v>89.743239739328146</v>
      </c>
    </row>
    <row r="41" spans="1:25" s="19" customFormat="1" ht="15.95" customHeight="1" x14ac:dyDescent="0.25">
      <c r="A41" s="37"/>
      <c r="B41" s="38" t="s">
        <v>60</v>
      </c>
      <c r="C41" s="35"/>
      <c r="D41" s="61">
        <v>24.39960719066757</v>
      </c>
      <c r="E41" s="62">
        <v>34.501701232162176</v>
      </c>
      <c r="F41" s="62">
        <v>13.328532581853358</v>
      </c>
      <c r="G41" s="62">
        <v>2.2002149170524241</v>
      </c>
      <c r="H41" s="62">
        <v>3.8200736433350464</v>
      </c>
      <c r="I41" s="62">
        <v>0</v>
      </c>
      <c r="J41" s="62">
        <v>6.9497167680383587</v>
      </c>
      <c r="K41" s="62">
        <v>2.6460331572777647</v>
      </c>
      <c r="L41" s="62">
        <v>5.8613055389512647</v>
      </c>
      <c r="M41" s="62">
        <v>6.041503710822111</v>
      </c>
      <c r="N41" s="62">
        <v>7.2626003141983713</v>
      </c>
      <c r="O41" s="62">
        <v>0.97153079394375752</v>
      </c>
      <c r="P41" s="62">
        <v>0</v>
      </c>
      <c r="Q41" s="62">
        <v>7.6098640394919439</v>
      </c>
      <c r="R41" s="62">
        <v>0.44810318693474288</v>
      </c>
      <c r="S41" s="62">
        <v>12.42706858451837</v>
      </c>
      <c r="T41" s="62">
        <v>12.781639545162928</v>
      </c>
      <c r="U41" s="62">
        <v>51.5169393604437</v>
      </c>
      <c r="V41" s="62">
        <v>0</v>
      </c>
      <c r="W41" s="62">
        <v>0</v>
      </c>
      <c r="X41" s="62">
        <v>11.267470508518898</v>
      </c>
      <c r="Y41" s="62">
        <v>0</v>
      </c>
    </row>
    <row r="42" spans="1:25" s="19" customFormat="1" ht="15.95" customHeight="1" x14ac:dyDescent="0.25">
      <c r="A42" s="37"/>
      <c r="B42" s="38" t="s">
        <v>117</v>
      </c>
      <c r="C42" s="35"/>
      <c r="D42" s="61">
        <v>0</v>
      </c>
      <c r="E42" s="62">
        <v>0</v>
      </c>
      <c r="F42" s="62">
        <v>0</v>
      </c>
      <c r="G42" s="62">
        <v>44.758605078658583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80.588682251911891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16.577656067169276</v>
      </c>
      <c r="W42" s="62">
        <v>0</v>
      </c>
      <c r="X42" s="62">
        <v>0</v>
      </c>
      <c r="Y42" s="62">
        <v>0</v>
      </c>
    </row>
    <row r="43" spans="1:25" s="19" customFormat="1" ht="4.3499999999999996" customHeight="1" x14ac:dyDescent="0.25">
      <c r="A43" s="39"/>
      <c r="B43" s="40"/>
      <c r="C43" s="41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s="19" customFormat="1" ht="15.95" customHeight="1" x14ac:dyDescent="0.25">
      <c r="A44" s="37" t="s">
        <v>5</v>
      </c>
      <c r="B44" s="38"/>
      <c r="C44" s="35"/>
      <c r="D44" s="61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s="19" customFormat="1" ht="15.95" customHeight="1" x14ac:dyDescent="0.25">
      <c r="A45" s="37"/>
      <c r="B45" s="38" t="s">
        <v>6</v>
      </c>
      <c r="C45" s="35"/>
      <c r="D45" s="61">
        <v>25.987384396292903</v>
      </c>
      <c r="E45" s="62">
        <v>37.005005126501977</v>
      </c>
      <c r="F45" s="62">
        <v>9.2667129400577508</v>
      </c>
      <c r="G45" s="62">
        <v>3.536145088213726</v>
      </c>
      <c r="H45" s="62">
        <v>1.2811161768846242</v>
      </c>
      <c r="I45" s="62">
        <v>7.0994763597848776</v>
      </c>
      <c r="J45" s="62">
        <v>3.9078889047858087</v>
      </c>
      <c r="K45" s="62">
        <v>3.6121783163185484</v>
      </c>
      <c r="L45" s="62">
        <v>3.3745528554555353</v>
      </c>
      <c r="M45" s="62">
        <v>1.2865308124829371</v>
      </c>
      <c r="N45" s="62">
        <v>0.8667900981904586</v>
      </c>
      <c r="O45" s="62">
        <v>2.942785944090998</v>
      </c>
      <c r="P45" s="62">
        <v>0.79787429601138549</v>
      </c>
      <c r="Q45" s="62">
        <v>1.3430753027488538</v>
      </c>
      <c r="R45" s="62">
        <v>5.376602680833674</v>
      </c>
      <c r="S45" s="62">
        <v>2.2892199996981302</v>
      </c>
      <c r="T45" s="62">
        <v>3.3438450333481242</v>
      </c>
      <c r="U45" s="62">
        <v>22.703552615338683</v>
      </c>
      <c r="V45" s="62">
        <v>1.99160416940467</v>
      </c>
      <c r="W45" s="62">
        <v>1.5510384759144313</v>
      </c>
      <c r="X45" s="62">
        <v>2.1514972059949451</v>
      </c>
      <c r="Y45" s="62">
        <v>2.5475985355892079</v>
      </c>
    </row>
    <row r="46" spans="1:25" s="19" customFormat="1" ht="15.95" customHeight="1" x14ac:dyDescent="0.25">
      <c r="A46" s="37"/>
      <c r="B46" s="38" t="s">
        <v>7</v>
      </c>
      <c r="C46" s="35"/>
      <c r="D46" s="61">
        <v>63.22759884653442</v>
      </c>
      <c r="E46" s="62">
        <v>61.685809902273277</v>
      </c>
      <c r="F46" s="62">
        <v>44.20416926494368</v>
      </c>
      <c r="G46" s="62">
        <v>33.059359569287579</v>
      </c>
      <c r="H46" s="62">
        <v>20.190205408000921</v>
      </c>
      <c r="I46" s="62">
        <v>23.369601916586085</v>
      </c>
      <c r="J46" s="62">
        <v>41.881479547217104</v>
      </c>
      <c r="K46" s="62">
        <v>31.616877420635145</v>
      </c>
      <c r="L46" s="62">
        <v>48.855152312505531</v>
      </c>
      <c r="M46" s="62">
        <v>36.263879168738015</v>
      </c>
      <c r="N46" s="62">
        <v>38.510795987579606</v>
      </c>
      <c r="O46" s="62">
        <v>29.81876812750393</v>
      </c>
      <c r="P46" s="62">
        <v>17.545177143684374</v>
      </c>
      <c r="Q46" s="62">
        <v>33.48244205250262</v>
      </c>
      <c r="R46" s="62">
        <v>14.057850968549713</v>
      </c>
      <c r="S46" s="62">
        <v>4.997071046653101</v>
      </c>
      <c r="T46" s="62">
        <v>26.400013362836674</v>
      </c>
      <c r="U46" s="62">
        <v>70.809545422211301</v>
      </c>
      <c r="V46" s="62">
        <v>21.974039197999705</v>
      </c>
      <c r="W46" s="62">
        <v>31.236775953863503</v>
      </c>
      <c r="X46" s="62">
        <v>20.468119341537282</v>
      </c>
      <c r="Y46" s="62">
        <v>89.743239739328146</v>
      </c>
    </row>
    <row r="47" spans="1:25" s="19" customFormat="1" ht="15.95" customHeight="1" x14ac:dyDescent="0.25">
      <c r="A47" s="37"/>
      <c r="B47" s="38" t="s">
        <v>122</v>
      </c>
      <c r="C47" s="35"/>
      <c r="D47" s="61">
        <v>6.6811974205122295</v>
      </c>
      <c r="E47" s="62">
        <v>35.205626226248143</v>
      </c>
      <c r="F47" s="62">
        <v>1.07920299699287</v>
      </c>
      <c r="G47" s="62">
        <v>1.4148490923977228</v>
      </c>
      <c r="H47" s="62">
        <v>18.35034101129699</v>
      </c>
      <c r="I47" s="62">
        <v>17.7045433125732</v>
      </c>
      <c r="J47" s="62">
        <v>0</v>
      </c>
      <c r="K47" s="62">
        <v>0.67625913183078523</v>
      </c>
      <c r="L47" s="62">
        <v>0.73979885004029744</v>
      </c>
      <c r="M47" s="62">
        <v>0</v>
      </c>
      <c r="N47" s="62">
        <v>3.0729870987504246</v>
      </c>
      <c r="O47" s="62">
        <v>0</v>
      </c>
      <c r="P47" s="62">
        <v>2.0871670235364688</v>
      </c>
      <c r="Q47" s="62">
        <v>3.1726177846894172</v>
      </c>
      <c r="R47" s="62">
        <v>6.2555039633986365</v>
      </c>
      <c r="S47" s="62">
        <v>13.638688310568813</v>
      </c>
      <c r="T47" s="62">
        <v>5.8460457541765702</v>
      </c>
      <c r="U47" s="62">
        <v>10.412496621535153</v>
      </c>
      <c r="V47" s="62">
        <v>3.943202937549203</v>
      </c>
      <c r="W47" s="62">
        <v>4.6692428172571647</v>
      </c>
      <c r="X47" s="62">
        <v>0.20274846717644765</v>
      </c>
      <c r="Y47" s="62">
        <v>2.3867895778453097</v>
      </c>
    </row>
    <row r="48" spans="1:25" s="19" customFormat="1" ht="15.95" customHeight="1" x14ac:dyDescent="0.25">
      <c r="A48" s="37"/>
      <c r="B48" s="38" t="s">
        <v>8</v>
      </c>
      <c r="C48" s="35"/>
      <c r="D48" s="61">
        <v>16.468545528996902</v>
      </c>
      <c r="E48" s="62">
        <v>24.743085266986217</v>
      </c>
      <c r="F48" s="62">
        <v>2.7786740095485003</v>
      </c>
      <c r="G48" s="62">
        <v>2.4739959941204734</v>
      </c>
      <c r="H48" s="62">
        <v>0.6228121941468322</v>
      </c>
      <c r="I48" s="62">
        <v>2.6072374342784279</v>
      </c>
      <c r="J48" s="62">
        <v>8.2360872319500675</v>
      </c>
      <c r="K48" s="62">
        <v>1.9911743962898734</v>
      </c>
      <c r="L48" s="62">
        <v>0.98443552800892731</v>
      </c>
      <c r="M48" s="62">
        <v>1.0162342354840026</v>
      </c>
      <c r="N48" s="62">
        <v>0.99912431766889231</v>
      </c>
      <c r="O48" s="62">
        <v>0.59311129896832115</v>
      </c>
      <c r="P48" s="62">
        <v>0</v>
      </c>
      <c r="Q48" s="62">
        <v>0.87963429340339772</v>
      </c>
      <c r="R48" s="62">
        <v>0</v>
      </c>
      <c r="S48" s="62">
        <v>4.2969728614567906</v>
      </c>
      <c r="T48" s="62">
        <v>3.9249733602131212</v>
      </c>
      <c r="U48" s="62">
        <v>25.001614930184747</v>
      </c>
      <c r="V48" s="62">
        <v>1.9364680814891122</v>
      </c>
      <c r="W48" s="62">
        <v>0.50827029653482958</v>
      </c>
      <c r="X48" s="62">
        <v>8.9729259556827117</v>
      </c>
      <c r="Y48" s="62">
        <v>2.2802934140093507</v>
      </c>
    </row>
    <row r="49" spans="1:25" s="19" customFormat="1" ht="15.95" customHeight="1" x14ac:dyDescent="0.25">
      <c r="A49" s="37"/>
      <c r="B49" s="38" t="s">
        <v>9</v>
      </c>
      <c r="C49" s="35"/>
      <c r="D49" s="61">
        <v>32.132817185984656</v>
      </c>
      <c r="E49" s="62">
        <v>42.692091102104328</v>
      </c>
      <c r="F49" s="62">
        <v>13.678244921783161</v>
      </c>
      <c r="G49" s="62">
        <v>9.2234140141676484</v>
      </c>
      <c r="H49" s="62">
        <v>4.9200866188415082</v>
      </c>
      <c r="I49" s="62">
        <v>7.1825594196911648</v>
      </c>
      <c r="J49" s="62">
        <v>6.3240326577371082</v>
      </c>
      <c r="K49" s="62">
        <v>4.8404589400611568</v>
      </c>
      <c r="L49" s="62">
        <v>6.415216312289032</v>
      </c>
      <c r="M49" s="62">
        <v>3.0278997186155929</v>
      </c>
      <c r="N49" s="62">
        <v>3.3841412123227115</v>
      </c>
      <c r="O49" s="62">
        <v>1.8507860161066698</v>
      </c>
      <c r="P49" s="62">
        <v>4.4627640972358593</v>
      </c>
      <c r="Q49" s="62">
        <v>2.1644981747442773</v>
      </c>
      <c r="R49" s="62">
        <v>3.5381268823232821</v>
      </c>
      <c r="S49" s="62">
        <v>5.1911098923869865</v>
      </c>
      <c r="T49" s="62">
        <v>4.7770906828749311</v>
      </c>
      <c r="U49" s="62">
        <v>37.159921875706914</v>
      </c>
      <c r="V49" s="62">
        <v>8.1402426920496929</v>
      </c>
      <c r="W49" s="62">
        <v>4.4651804786025595</v>
      </c>
      <c r="X49" s="62">
        <v>10.60085805801749</v>
      </c>
      <c r="Y49" s="62">
        <v>15.425552332438581</v>
      </c>
    </row>
    <row r="50" spans="1:25" s="19" customFormat="1" ht="15.95" customHeight="1" x14ac:dyDescent="0.25">
      <c r="A50" s="37"/>
      <c r="B50" s="38" t="s">
        <v>10</v>
      </c>
      <c r="C50" s="35"/>
      <c r="D50" s="61">
        <v>27.643235234688131</v>
      </c>
      <c r="E50" s="62">
        <v>40.227652762063748</v>
      </c>
      <c r="F50" s="62">
        <v>10.543267875322117</v>
      </c>
      <c r="G50" s="62">
        <v>20.469115756277759</v>
      </c>
      <c r="H50" s="62">
        <v>6.0753169535021279</v>
      </c>
      <c r="I50" s="62">
        <v>7.2745882737320082</v>
      </c>
      <c r="J50" s="62">
        <v>8.0219271373284258</v>
      </c>
      <c r="K50" s="62">
        <v>13.039790162494242</v>
      </c>
      <c r="L50" s="62">
        <v>10.698725037629353</v>
      </c>
      <c r="M50" s="62">
        <v>2.0330857909674673</v>
      </c>
      <c r="N50" s="62">
        <v>3.7663392838331728</v>
      </c>
      <c r="O50" s="62">
        <v>3.4150782426584527</v>
      </c>
      <c r="P50" s="62">
        <v>5.803083926808724</v>
      </c>
      <c r="Q50" s="62">
        <v>7.4445955334364786</v>
      </c>
      <c r="R50" s="62">
        <v>7.649082372886415</v>
      </c>
      <c r="S50" s="62">
        <v>3.1841351009782395</v>
      </c>
      <c r="T50" s="62">
        <v>8.1523664388567401</v>
      </c>
      <c r="U50" s="62">
        <v>28.37720529546241</v>
      </c>
      <c r="V50" s="62">
        <v>14.851471889800491</v>
      </c>
      <c r="W50" s="62">
        <v>2.9348436347176583</v>
      </c>
      <c r="X50" s="62">
        <v>3.0207518120895362</v>
      </c>
      <c r="Y50" s="62">
        <v>11.586012409590586</v>
      </c>
    </row>
    <row r="51" spans="1:25" s="19" customFormat="1" ht="15.95" customHeight="1" x14ac:dyDescent="0.25">
      <c r="A51" s="37" t="s">
        <v>72</v>
      </c>
      <c r="B51" s="38"/>
      <c r="C51" s="35"/>
      <c r="D51" s="61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s="19" customFormat="1" ht="15.95" customHeight="1" x14ac:dyDescent="0.25">
      <c r="A52" s="37"/>
      <c r="B52" s="38" t="s">
        <v>163</v>
      </c>
      <c r="C52" s="35"/>
      <c r="D52" s="61">
        <v>26.75420307727218</v>
      </c>
      <c r="E52" s="62">
        <v>20.547839343085769</v>
      </c>
      <c r="F52" s="62">
        <v>18.54798377605395</v>
      </c>
      <c r="G52" s="62">
        <v>15.628166928575128</v>
      </c>
      <c r="H52" s="62">
        <v>7.3738022546691946</v>
      </c>
      <c r="I52" s="62">
        <v>19.471478969930839</v>
      </c>
      <c r="J52" s="62">
        <v>12.056142613404438</v>
      </c>
      <c r="K52" s="62">
        <v>11.896687858297446</v>
      </c>
      <c r="L52" s="62">
        <v>17.210846878161579</v>
      </c>
      <c r="M52" s="62">
        <v>6.8001644114331334</v>
      </c>
      <c r="N52" s="62">
        <v>7.0364395127649537</v>
      </c>
      <c r="O52" s="62">
        <v>11.081006010354185</v>
      </c>
      <c r="P52" s="62">
        <v>2.1003159265502287</v>
      </c>
      <c r="Q52" s="62">
        <v>7.1800211635267717</v>
      </c>
      <c r="R52" s="62">
        <v>10.977742552279651</v>
      </c>
      <c r="S52" s="62">
        <v>2.434792364751432</v>
      </c>
      <c r="T52" s="62">
        <v>5.6474968837434982</v>
      </c>
      <c r="U52" s="62">
        <v>47.771895018992161</v>
      </c>
      <c r="V52" s="62">
        <v>10.58466625056851</v>
      </c>
      <c r="W52" s="62">
        <v>14.697969407241301</v>
      </c>
      <c r="X52" s="62">
        <v>6.887098557541143</v>
      </c>
      <c r="Y52" s="62">
        <v>39.959619707701201</v>
      </c>
    </row>
    <row r="53" spans="1:25" s="19" customFormat="1" ht="15.95" customHeight="1" x14ac:dyDescent="0.25">
      <c r="A53" s="37"/>
      <c r="B53" s="38" t="s">
        <v>164</v>
      </c>
      <c r="C53" s="35"/>
      <c r="D53" s="61">
        <v>23.167695553937751</v>
      </c>
      <c r="E53" s="62">
        <v>37.039671236464237</v>
      </c>
      <c r="F53" s="62">
        <v>9.6517003899988225</v>
      </c>
      <c r="G53" s="62">
        <v>5.0830485397902505</v>
      </c>
      <c r="H53" s="62">
        <v>2.4608940073549821</v>
      </c>
      <c r="I53" s="62">
        <v>6.8821304828664713</v>
      </c>
      <c r="J53" s="62">
        <v>4.3911325326990163</v>
      </c>
      <c r="K53" s="62">
        <v>5.232374478224008</v>
      </c>
      <c r="L53" s="62">
        <v>4.9160165597347998</v>
      </c>
      <c r="M53" s="62">
        <v>1.8225838695709899</v>
      </c>
      <c r="N53" s="62">
        <v>2.4172391307803882</v>
      </c>
      <c r="O53" s="62">
        <v>3.0200710814470186</v>
      </c>
      <c r="P53" s="62">
        <v>2.7318660956829031</v>
      </c>
      <c r="Q53" s="62">
        <v>3.359298381730873</v>
      </c>
      <c r="R53" s="62">
        <v>3.8682718199114929</v>
      </c>
      <c r="S53" s="62">
        <v>4.6360457202300616</v>
      </c>
      <c r="T53" s="62">
        <v>4.2742522295388969</v>
      </c>
      <c r="U53" s="62">
        <v>25.483402502069545</v>
      </c>
      <c r="V53" s="62">
        <v>5.5977365217045287</v>
      </c>
      <c r="W53" s="62">
        <v>3.7576353840399723</v>
      </c>
      <c r="X53" s="62">
        <v>3.5841036884751283</v>
      </c>
      <c r="Y53" s="62">
        <v>7.4852003446424469</v>
      </c>
    </row>
    <row r="54" spans="1:25" s="19" customFormat="1" ht="15.95" customHeight="1" x14ac:dyDescent="0.25">
      <c r="A54" s="37"/>
      <c r="B54" s="38" t="s">
        <v>219</v>
      </c>
      <c r="C54" s="35"/>
      <c r="D54" s="61">
        <v>25.550573218067644</v>
      </c>
      <c r="E54" s="62">
        <v>25.842025168037846</v>
      </c>
      <c r="F54" s="62">
        <v>11.627946445521996</v>
      </c>
      <c r="G54" s="62">
        <v>6.5564377051815717</v>
      </c>
      <c r="H54" s="62">
        <v>2.0330801019440288</v>
      </c>
      <c r="I54" s="62">
        <v>5.9207497057673528</v>
      </c>
      <c r="J54" s="62">
        <v>11.936980574313505</v>
      </c>
      <c r="K54" s="62">
        <v>2.0251367744992299</v>
      </c>
      <c r="L54" s="62">
        <v>4.395976125230205</v>
      </c>
      <c r="M54" s="62">
        <v>2.175279363958464</v>
      </c>
      <c r="N54" s="62">
        <v>3.1363702393449771</v>
      </c>
      <c r="O54" s="62">
        <v>0.91883340029643146</v>
      </c>
      <c r="P54" s="62">
        <v>7.2383968578665039</v>
      </c>
      <c r="Q54" s="62">
        <v>2.6945791049831724</v>
      </c>
      <c r="R54" s="62">
        <v>4.504183606869046</v>
      </c>
      <c r="S54" s="62">
        <v>4.6954325752917851</v>
      </c>
      <c r="T54" s="62">
        <v>4.3705299665877817</v>
      </c>
      <c r="U54" s="62">
        <v>29.185465895545459</v>
      </c>
      <c r="V54" s="62">
        <v>3.2748270629738743</v>
      </c>
      <c r="W54" s="62">
        <v>0.4206190912378418</v>
      </c>
      <c r="X54" s="62">
        <v>8.9235030038315948</v>
      </c>
      <c r="Y54" s="62">
        <v>6.7864861548196114</v>
      </c>
    </row>
    <row r="55" spans="1:25" s="19" customFormat="1" ht="15.95" customHeight="1" x14ac:dyDescent="0.25">
      <c r="A55" s="37"/>
      <c r="B55" s="38" t="s">
        <v>214</v>
      </c>
      <c r="C55" s="35"/>
      <c r="D55" s="61">
        <v>27.598226698480403</v>
      </c>
      <c r="E55" s="62">
        <v>30.691903242444603</v>
      </c>
      <c r="F55" s="62">
        <v>9.3872917584686313</v>
      </c>
      <c r="G55" s="62">
        <v>5.1977285808662987</v>
      </c>
      <c r="H55" s="62">
        <v>2.8361870047280395</v>
      </c>
      <c r="I55" s="62">
        <v>4.7471583236468113</v>
      </c>
      <c r="J55" s="62">
        <v>8.3776580366973903</v>
      </c>
      <c r="K55" s="62">
        <v>2.4614179639280134</v>
      </c>
      <c r="L55" s="62">
        <v>3.1735027345391371</v>
      </c>
      <c r="M55" s="62">
        <v>0.20060235278919264</v>
      </c>
      <c r="N55" s="62">
        <v>3.1449427152819567</v>
      </c>
      <c r="O55" s="62">
        <v>1.4324629742611159</v>
      </c>
      <c r="P55" s="62">
        <v>0.281307214313542</v>
      </c>
      <c r="Q55" s="62">
        <v>1.6358802107045292</v>
      </c>
      <c r="R55" s="62">
        <v>5.6586713814024003</v>
      </c>
      <c r="S55" s="62">
        <v>4.3747478668512141</v>
      </c>
      <c r="T55" s="62">
        <v>2.3017791307925606</v>
      </c>
      <c r="U55" s="62">
        <v>29.742155402200151</v>
      </c>
      <c r="V55" s="62">
        <v>7.6527061581081828</v>
      </c>
      <c r="W55" s="62">
        <v>5.379340512779029</v>
      </c>
      <c r="X55" s="62">
        <v>7.4773005534439765</v>
      </c>
      <c r="Y55" s="62">
        <v>1.5855152399757664</v>
      </c>
    </row>
    <row r="56" spans="1:25" s="19" customFormat="1" ht="15.95" customHeight="1" x14ac:dyDescent="0.25">
      <c r="A56" s="37"/>
      <c r="B56" s="38" t="s">
        <v>216</v>
      </c>
      <c r="C56" s="35"/>
      <c r="D56" s="61">
        <v>29.864848834577767</v>
      </c>
      <c r="E56" s="62">
        <v>41.834279519353757</v>
      </c>
      <c r="F56" s="62">
        <v>8.2991787109669612</v>
      </c>
      <c r="G56" s="62">
        <v>10.357868746985895</v>
      </c>
      <c r="H56" s="62">
        <v>6.6601276924741262</v>
      </c>
      <c r="I56" s="62">
        <v>7.9911590873955891</v>
      </c>
      <c r="J56" s="62">
        <v>3.0918099695687284</v>
      </c>
      <c r="K56" s="62">
        <v>9.7201549508820193</v>
      </c>
      <c r="L56" s="62">
        <v>7.8242396179338964</v>
      </c>
      <c r="M56" s="62">
        <v>4.9382832997828716</v>
      </c>
      <c r="N56" s="62">
        <v>1.9096701981948219</v>
      </c>
      <c r="O56" s="62">
        <v>3.8354571086255826</v>
      </c>
      <c r="P56" s="62">
        <v>0.88957372967520221</v>
      </c>
      <c r="Q56" s="62">
        <v>2.7572874753349321</v>
      </c>
      <c r="R56" s="62">
        <v>1.4959927253630187</v>
      </c>
      <c r="S56" s="62">
        <v>6.339927594156209</v>
      </c>
      <c r="T56" s="62">
        <v>6.7870905391543568</v>
      </c>
      <c r="U56" s="62">
        <v>25.35745865313994</v>
      </c>
      <c r="V56" s="62">
        <v>6.4460967390584889</v>
      </c>
      <c r="W56" s="62">
        <v>2.4052124360448968</v>
      </c>
      <c r="X56" s="62">
        <v>12.567267011885837</v>
      </c>
      <c r="Y56" s="62">
        <v>0</v>
      </c>
    </row>
    <row r="57" spans="1:25" s="19" customFormat="1" ht="15.95" customHeight="1" x14ac:dyDescent="0.25">
      <c r="A57" s="37"/>
      <c r="B57" s="38" t="s">
        <v>220</v>
      </c>
      <c r="C57" s="35"/>
      <c r="D57" s="61">
        <v>29.631711812043395</v>
      </c>
      <c r="E57" s="62">
        <v>46.754108481113612</v>
      </c>
      <c r="F57" s="62">
        <v>8.6459467497885587</v>
      </c>
      <c r="G57" s="62">
        <v>12.750867303764748</v>
      </c>
      <c r="H57" s="62">
        <v>8.500784709230798</v>
      </c>
      <c r="I57" s="62">
        <v>5.3142868723304186</v>
      </c>
      <c r="J57" s="62">
        <v>7.9935596020741517</v>
      </c>
      <c r="K57" s="62">
        <v>14.212430519481249</v>
      </c>
      <c r="L57" s="62">
        <v>6.6326804210586623</v>
      </c>
      <c r="M57" s="62">
        <v>5.9330836742774808</v>
      </c>
      <c r="N57" s="62">
        <v>7.4467294658959595</v>
      </c>
      <c r="O57" s="62">
        <v>3.614550416695502</v>
      </c>
      <c r="P57" s="62">
        <v>2.1443845999504525</v>
      </c>
      <c r="Q57" s="62">
        <v>7.4139308110170861</v>
      </c>
      <c r="R57" s="62">
        <v>6.3345318002200779</v>
      </c>
      <c r="S57" s="62">
        <v>3.0064370518230032</v>
      </c>
      <c r="T57" s="62">
        <v>12.831429708917618</v>
      </c>
      <c r="U57" s="62">
        <v>31.408044230566134</v>
      </c>
      <c r="V57" s="62">
        <v>10.560171821677741</v>
      </c>
      <c r="W57" s="62">
        <v>3.0499990619140851</v>
      </c>
      <c r="X57" s="62">
        <v>9.8072836979526166</v>
      </c>
      <c r="Y57" s="62">
        <v>12.721026742117907</v>
      </c>
    </row>
    <row r="58" spans="1:25" s="19" customFormat="1" ht="15.95" customHeight="1" x14ac:dyDescent="0.25">
      <c r="A58" s="37"/>
      <c r="B58" s="38" t="s">
        <v>165</v>
      </c>
      <c r="C58" s="35"/>
      <c r="D58" s="61">
        <v>28.75809611985844</v>
      </c>
      <c r="E58" s="62">
        <v>43.563386768470139</v>
      </c>
      <c r="F58" s="62">
        <v>11.826929772325487</v>
      </c>
      <c r="G58" s="62">
        <v>6.6734621390066113</v>
      </c>
      <c r="H58" s="62">
        <v>4.0342480781526033</v>
      </c>
      <c r="I58" s="62">
        <v>8.9017659140879832</v>
      </c>
      <c r="J58" s="62">
        <v>6.6957048005490485</v>
      </c>
      <c r="K58" s="62">
        <v>4.348635698145749</v>
      </c>
      <c r="L58" s="62">
        <v>6.0814144748313117</v>
      </c>
      <c r="M58" s="62">
        <v>4.0047303510372299</v>
      </c>
      <c r="N58" s="62">
        <v>1.4880260377101213</v>
      </c>
      <c r="O58" s="62">
        <v>4.1789871076845966</v>
      </c>
      <c r="P58" s="62">
        <v>1.18178377115485</v>
      </c>
      <c r="Q58" s="62">
        <v>2.9363390260958089</v>
      </c>
      <c r="R58" s="62">
        <v>3.0572427652296281</v>
      </c>
      <c r="S58" s="62">
        <v>1.2761344227066143</v>
      </c>
      <c r="T58" s="62">
        <v>4.8745788002014745</v>
      </c>
      <c r="U58" s="62">
        <v>29.500806327803616</v>
      </c>
      <c r="V58" s="62">
        <v>3.8753990704592662</v>
      </c>
      <c r="W58" s="62">
        <v>0.99870962221514081</v>
      </c>
      <c r="X58" s="62">
        <v>2.1407138546481077</v>
      </c>
      <c r="Y58" s="62">
        <v>6.6749672296579341</v>
      </c>
    </row>
    <row r="59" spans="1:25" s="19" customFormat="1" ht="15.95" customHeight="1" x14ac:dyDescent="0.25">
      <c r="A59" s="37"/>
      <c r="B59" s="38" t="s">
        <v>158</v>
      </c>
      <c r="C59" s="35"/>
      <c r="D59" s="61">
        <v>25.929442476399768</v>
      </c>
      <c r="E59" s="62">
        <v>45.520422124222044</v>
      </c>
      <c r="F59" s="62">
        <v>7.5571118876843935</v>
      </c>
      <c r="G59" s="62">
        <v>4.7231923399784979</v>
      </c>
      <c r="H59" s="62">
        <v>3.0554043916055842</v>
      </c>
      <c r="I59" s="62">
        <v>5.9788187490158347</v>
      </c>
      <c r="J59" s="62">
        <v>4.2418366766545637</v>
      </c>
      <c r="K59" s="62">
        <v>6.8207449762672079</v>
      </c>
      <c r="L59" s="62">
        <v>6.8546490092944552</v>
      </c>
      <c r="M59" s="62">
        <v>1.7564685521278676</v>
      </c>
      <c r="N59" s="62">
        <v>0.58592350889455991</v>
      </c>
      <c r="O59" s="62">
        <v>0.73462108483718414</v>
      </c>
      <c r="P59" s="62">
        <v>1.9917674850601224</v>
      </c>
      <c r="Q59" s="62">
        <v>0.1473970038369381</v>
      </c>
      <c r="R59" s="62">
        <v>5.1444809102798645</v>
      </c>
      <c r="S59" s="62">
        <v>5.8205190690861821</v>
      </c>
      <c r="T59" s="62">
        <v>4.9446248839110289</v>
      </c>
      <c r="U59" s="62">
        <v>21.804780807494087</v>
      </c>
      <c r="V59" s="62">
        <v>5.0997456412993269</v>
      </c>
      <c r="W59" s="62">
        <v>2.0097028521971367</v>
      </c>
      <c r="X59" s="62">
        <v>0.63532982214504741</v>
      </c>
      <c r="Y59" s="62">
        <v>3.1595003165254458</v>
      </c>
    </row>
    <row r="60" spans="1:25" s="19" customFormat="1" ht="15.95" customHeight="1" x14ac:dyDescent="0.25">
      <c r="A60" s="37"/>
      <c r="B60" s="38" t="s">
        <v>159</v>
      </c>
      <c r="C60" s="35"/>
      <c r="D60" s="61">
        <v>31.034200959459454</v>
      </c>
      <c r="E60" s="62">
        <v>37.034499590405744</v>
      </c>
      <c r="F60" s="62">
        <v>9.120273722361409</v>
      </c>
      <c r="G60" s="62">
        <v>6.4297629741845768</v>
      </c>
      <c r="H60" s="62">
        <v>6.2513791525594247</v>
      </c>
      <c r="I60" s="62">
        <v>1.5311392732648266</v>
      </c>
      <c r="J60" s="62">
        <v>4.7432640783247138</v>
      </c>
      <c r="K60" s="62">
        <v>1.8640266787062081</v>
      </c>
      <c r="L60" s="62">
        <v>13.284280757413171</v>
      </c>
      <c r="M60" s="62">
        <v>0</v>
      </c>
      <c r="N60" s="62">
        <v>0</v>
      </c>
      <c r="O60" s="62">
        <v>8.7597298785934132</v>
      </c>
      <c r="P60" s="62">
        <v>0</v>
      </c>
      <c r="Q60" s="62">
        <v>1.8530105434819046</v>
      </c>
      <c r="R60" s="62">
        <v>3.7994122072441496</v>
      </c>
      <c r="S60" s="62">
        <v>24.054733186745398</v>
      </c>
      <c r="T60" s="62">
        <v>9.2061495897540553</v>
      </c>
      <c r="U60" s="62">
        <v>31.87150704684958</v>
      </c>
      <c r="V60" s="62">
        <v>10.252951662611677</v>
      </c>
      <c r="W60" s="62">
        <v>5.1597960280142789</v>
      </c>
      <c r="X60" s="62">
        <v>0</v>
      </c>
      <c r="Y60" s="62">
        <v>0</v>
      </c>
    </row>
    <row r="61" spans="1:25" s="19" customFormat="1" ht="15.95" customHeight="1" x14ac:dyDescent="0.25">
      <c r="A61" s="37"/>
      <c r="B61" s="38" t="s">
        <v>75</v>
      </c>
      <c r="C61" s="35"/>
      <c r="D61" s="61">
        <v>33.613916745639003</v>
      </c>
      <c r="E61" s="62">
        <v>9.0799673595700945</v>
      </c>
      <c r="F61" s="62">
        <v>11.722729703044655</v>
      </c>
      <c r="G61" s="62">
        <v>17.302276730760227</v>
      </c>
      <c r="H61" s="62">
        <v>0</v>
      </c>
      <c r="I61" s="62">
        <v>0</v>
      </c>
      <c r="J61" s="62">
        <v>0</v>
      </c>
      <c r="K61" s="62">
        <v>3.4788904562692631</v>
      </c>
      <c r="L61" s="62">
        <v>0.8764752154873755</v>
      </c>
      <c r="M61" s="62">
        <v>0</v>
      </c>
      <c r="N61" s="62">
        <v>0</v>
      </c>
      <c r="O61" s="62">
        <v>3.4548881656001469</v>
      </c>
      <c r="P61" s="62">
        <v>0</v>
      </c>
      <c r="Q61" s="62">
        <v>0</v>
      </c>
      <c r="R61" s="62">
        <v>0.63205301205358599</v>
      </c>
      <c r="S61" s="62">
        <v>0.42784735959421205</v>
      </c>
      <c r="T61" s="62">
        <v>2.3837957425318366</v>
      </c>
      <c r="U61" s="62">
        <v>19.772026646947715</v>
      </c>
      <c r="V61" s="62">
        <v>0.96979698020059779</v>
      </c>
      <c r="W61" s="62">
        <v>5.5481114181427706</v>
      </c>
      <c r="X61" s="62">
        <v>18.97506247793142</v>
      </c>
      <c r="Y61" s="62">
        <v>0</v>
      </c>
    </row>
    <row r="62" spans="1:25" s="19" customFormat="1" ht="15.95" customHeight="1" x14ac:dyDescent="0.25">
      <c r="A62" s="63"/>
      <c r="B62" s="64"/>
      <c r="C62" s="142"/>
      <c r="D62" s="67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 spans="1:25" s="19" customFormat="1" ht="15.95" customHeight="1" x14ac:dyDescent="0.25">
      <c r="A63" s="30"/>
      <c r="B63" s="70"/>
      <c r="C63" s="143"/>
      <c r="D63" s="110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</row>
    <row r="64" spans="1:25" s="19" customFormat="1" ht="15.95" customHeight="1" x14ac:dyDescent="0.25">
      <c r="A64" s="37" t="s">
        <v>62</v>
      </c>
      <c r="B64" s="38"/>
      <c r="C64" s="35"/>
      <c r="D64" s="61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spans="1:25" s="19" customFormat="1" ht="15.95" customHeight="1" x14ac:dyDescent="0.25">
      <c r="A65" s="37"/>
      <c r="B65" s="38" t="s">
        <v>129</v>
      </c>
      <c r="C65" s="35"/>
      <c r="D65" s="61">
        <v>26.112254603097877</v>
      </c>
      <c r="E65" s="62">
        <v>38.663354491268343</v>
      </c>
      <c r="F65" s="62">
        <v>11.41086702097679</v>
      </c>
      <c r="G65" s="62">
        <v>7.8641760360774651</v>
      </c>
      <c r="H65" s="62">
        <v>5.8201018148208181</v>
      </c>
      <c r="I65" s="62">
        <v>7.1396305304068468</v>
      </c>
      <c r="J65" s="62">
        <v>7.4952596825007065</v>
      </c>
      <c r="K65" s="62">
        <v>8.1019678807742199</v>
      </c>
      <c r="L65" s="62">
        <v>6.5641085677901936</v>
      </c>
      <c r="M65" s="62">
        <v>5.3873297494723431</v>
      </c>
      <c r="N65" s="62">
        <v>6.0174324019657766</v>
      </c>
      <c r="O65" s="62">
        <v>5.0145212522145881</v>
      </c>
      <c r="P65" s="62">
        <v>5.2697366769423795</v>
      </c>
      <c r="Q65" s="62">
        <v>5.2699864482649978</v>
      </c>
      <c r="R65" s="62">
        <v>5.1311591713976146</v>
      </c>
      <c r="S65" s="62">
        <v>4.806088164562297</v>
      </c>
      <c r="T65" s="62">
        <v>4.7697156553311295</v>
      </c>
      <c r="U65" s="62">
        <v>35.110056067268559</v>
      </c>
      <c r="V65" s="62">
        <v>6.3933872187817675</v>
      </c>
      <c r="W65" s="62">
        <v>3.4169322194756004</v>
      </c>
      <c r="X65" s="62">
        <v>0</v>
      </c>
      <c r="Y65" s="62">
        <v>0</v>
      </c>
    </row>
    <row r="66" spans="1:25" s="19" customFormat="1" ht="15.95" customHeight="1" x14ac:dyDescent="0.25">
      <c r="A66" s="37"/>
      <c r="B66" s="38" t="s">
        <v>130</v>
      </c>
      <c r="C66" s="35"/>
      <c r="D66" s="61">
        <v>26.889158563618576</v>
      </c>
      <c r="E66" s="62">
        <v>40.471486247211985</v>
      </c>
      <c r="F66" s="62">
        <v>12.230291003354036</v>
      </c>
      <c r="G66" s="62">
        <v>8.1608379029210738</v>
      </c>
      <c r="H66" s="62">
        <v>5.3840846819218893</v>
      </c>
      <c r="I66" s="62">
        <v>6.8314934950538504</v>
      </c>
      <c r="J66" s="62">
        <v>7.1870883803486016</v>
      </c>
      <c r="K66" s="62">
        <v>8.0827002587678649</v>
      </c>
      <c r="L66" s="62">
        <v>7.4456088990053502</v>
      </c>
      <c r="M66" s="62">
        <v>4.8579058389412753</v>
      </c>
      <c r="N66" s="62">
        <v>5.1062244543761626</v>
      </c>
      <c r="O66" s="62">
        <v>4.4012358099694326</v>
      </c>
      <c r="P66" s="62">
        <v>5.8115882421774305</v>
      </c>
      <c r="Q66" s="62">
        <v>5.5112696053128429</v>
      </c>
      <c r="R66" s="62">
        <v>4.6938818829250302</v>
      </c>
      <c r="S66" s="62">
        <v>4.522797965851832</v>
      </c>
      <c r="T66" s="62">
        <v>6.115108676108501</v>
      </c>
      <c r="U66" s="62">
        <v>34.800542865569867</v>
      </c>
      <c r="V66" s="62">
        <v>5.772319947594621</v>
      </c>
      <c r="W66" s="62">
        <v>3.9565334248492312</v>
      </c>
      <c r="X66" s="62">
        <v>11.437050917615585</v>
      </c>
      <c r="Y66" s="62">
        <v>11.102746050044788</v>
      </c>
    </row>
    <row r="67" spans="1:25" s="19" customFormat="1" ht="15.95" customHeight="1" x14ac:dyDescent="0.25">
      <c r="A67" s="37"/>
      <c r="B67" s="38" t="s">
        <v>131</v>
      </c>
      <c r="C67" s="35"/>
      <c r="D67" s="61">
        <v>26.458360837442207</v>
      </c>
      <c r="E67" s="62">
        <v>41.549848286982161</v>
      </c>
      <c r="F67" s="62">
        <v>12.08031328235732</v>
      </c>
      <c r="G67" s="62">
        <v>8.5506229352965146</v>
      </c>
      <c r="H67" s="62">
        <v>5.2466989711512451</v>
      </c>
      <c r="I67" s="62">
        <v>7.5783243348101861</v>
      </c>
      <c r="J67" s="62">
        <v>6.5502106802238691</v>
      </c>
      <c r="K67" s="62">
        <v>8.4400257816624578</v>
      </c>
      <c r="L67" s="62">
        <v>8.4185181853241797</v>
      </c>
      <c r="M67" s="62">
        <v>5.0967400081378376</v>
      </c>
      <c r="N67" s="62">
        <v>5.8458307117189987</v>
      </c>
      <c r="O67" s="62">
        <v>4.766371722340482</v>
      </c>
      <c r="P67" s="62">
        <v>6.231452091643658</v>
      </c>
      <c r="Q67" s="62">
        <v>5.4058320639425101</v>
      </c>
      <c r="R67" s="62">
        <v>4.0224112679255546</v>
      </c>
      <c r="S67" s="62">
        <v>5.2083166955208657</v>
      </c>
      <c r="T67" s="62">
        <v>7.8331111462130156</v>
      </c>
      <c r="U67" s="62">
        <v>35.548411055198308</v>
      </c>
      <c r="V67" s="62">
        <v>6.1400696392917844</v>
      </c>
      <c r="W67" s="62">
        <v>3.6442496794991004</v>
      </c>
      <c r="X67" s="62">
        <v>12.564100623931427</v>
      </c>
      <c r="Y67" s="62">
        <v>10.843810652861434</v>
      </c>
    </row>
    <row r="68" spans="1:25" s="19" customFormat="1" ht="15.95" customHeight="1" x14ac:dyDescent="0.25">
      <c r="A68" s="37"/>
      <c r="B68" s="38" t="s">
        <v>132</v>
      </c>
      <c r="C68" s="35"/>
      <c r="D68" s="61">
        <v>26.927733164127361</v>
      </c>
      <c r="E68" s="62">
        <v>39.833200128696653</v>
      </c>
      <c r="F68" s="62">
        <v>12.777538604184651</v>
      </c>
      <c r="G68" s="62">
        <v>9.4786408567591209</v>
      </c>
      <c r="H68" s="62">
        <v>5.4605912719179575</v>
      </c>
      <c r="I68" s="62">
        <v>7.9859687981204601</v>
      </c>
      <c r="J68" s="62">
        <v>7.9224042136987549</v>
      </c>
      <c r="K68" s="62">
        <v>8.4675063712881666</v>
      </c>
      <c r="L68" s="62">
        <v>8.115183579124789</v>
      </c>
      <c r="M68" s="62">
        <v>5.0076276538457183</v>
      </c>
      <c r="N68" s="62">
        <v>5.6476067092634157</v>
      </c>
      <c r="O68" s="62">
        <v>5.0003866612991335</v>
      </c>
      <c r="P68" s="62">
        <v>6.0795024008924852</v>
      </c>
      <c r="Q68" s="62">
        <v>5.1115005035048275</v>
      </c>
      <c r="R68" s="62">
        <v>4.998974061418501</v>
      </c>
      <c r="S68" s="62">
        <v>5.8923573559205416</v>
      </c>
      <c r="T68" s="62">
        <v>7.7601106686514987</v>
      </c>
      <c r="U68" s="62">
        <v>35.600885400616725</v>
      </c>
      <c r="V68" s="62">
        <v>7.4600059489446089</v>
      </c>
      <c r="W68" s="62">
        <v>3.9322720076391398</v>
      </c>
      <c r="X68" s="62">
        <v>11.865341712032057</v>
      </c>
      <c r="Y68" s="62">
        <v>10.890853231789896</v>
      </c>
    </row>
    <row r="69" spans="1:25" s="19" customFormat="1" ht="15.95" customHeight="1" x14ac:dyDescent="0.25">
      <c r="A69" s="37"/>
      <c r="B69" s="38" t="s">
        <v>133</v>
      </c>
      <c r="C69" s="35"/>
      <c r="D69" s="61">
        <v>28.958731390634995</v>
      </c>
      <c r="E69" s="62">
        <v>40.199282808218122</v>
      </c>
      <c r="F69" s="62">
        <v>11.304638147113035</v>
      </c>
      <c r="G69" s="62">
        <v>9.7523309199635264</v>
      </c>
      <c r="H69" s="62">
        <v>5.4622564855803848</v>
      </c>
      <c r="I69" s="62">
        <v>7.4493840380965644</v>
      </c>
      <c r="J69" s="62">
        <v>8.9350781014717544</v>
      </c>
      <c r="K69" s="62">
        <v>9.0651561010889985</v>
      </c>
      <c r="L69" s="62">
        <v>7.6558619303091859</v>
      </c>
      <c r="M69" s="62">
        <v>4.38248139366664</v>
      </c>
      <c r="N69" s="62">
        <v>5.4875207354424154</v>
      </c>
      <c r="O69" s="62">
        <v>4.5789471698231798</v>
      </c>
      <c r="P69" s="62">
        <v>6.0931855075299985</v>
      </c>
      <c r="Q69" s="62">
        <v>5.5940861310465859</v>
      </c>
      <c r="R69" s="62">
        <v>4.4209623970566234</v>
      </c>
      <c r="S69" s="62">
        <v>5.5740871287414882</v>
      </c>
      <c r="T69" s="62">
        <v>6.7376463829797242</v>
      </c>
      <c r="U69" s="62">
        <v>36.625969255818063</v>
      </c>
      <c r="V69" s="62">
        <v>7.1167071072927275</v>
      </c>
      <c r="W69" s="62">
        <v>3.8778146261772601</v>
      </c>
      <c r="X69" s="62">
        <v>12.215857691976515</v>
      </c>
      <c r="Y69" s="62">
        <v>10.4109354147287</v>
      </c>
    </row>
    <row r="70" spans="1:25" s="19" customFormat="1" ht="15.95" customHeight="1" x14ac:dyDescent="0.25">
      <c r="A70" s="37"/>
      <c r="B70" s="38" t="s">
        <v>134</v>
      </c>
      <c r="C70" s="35"/>
      <c r="D70" s="61">
        <v>29.632373988221001</v>
      </c>
      <c r="E70" s="62">
        <v>40.318314641404307</v>
      </c>
      <c r="F70" s="62">
        <v>12.707448177189102</v>
      </c>
      <c r="G70" s="62">
        <v>10.536398289318218</v>
      </c>
      <c r="H70" s="62">
        <v>5.2303225292310378</v>
      </c>
      <c r="I70" s="62">
        <v>8.0660316118630462</v>
      </c>
      <c r="J70" s="62">
        <v>7.9747081980741399</v>
      </c>
      <c r="K70" s="62">
        <v>8.0396464497603262</v>
      </c>
      <c r="L70" s="62">
        <v>7.7652803618453774</v>
      </c>
      <c r="M70" s="62">
        <v>5.3305072505657529</v>
      </c>
      <c r="N70" s="62">
        <v>4.72197010813397</v>
      </c>
      <c r="O70" s="62">
        <v>4.5964728646192414</v>
      </c>
      <c r="P70" s="62">
        <v>5.5506710700058104</v>
      </c>
      <c r="Q70" s="62">
        <v>5.6739676555527732</v>
      </c>
      <c r="R70" s="62">
        <v>4.4022703779610719</v>
      </c>
      <c r="S70" s="62">
        <v>6.179305904235795</v>
      </c>
      <c r="T70" s="62">
        <v>6.9996787826107996</v>
      </c>
      <c r="U70" s="62">
        <v>36.188408504637081</v>
      </c>
      <c r="V70" s="62">
        <v>8.029921129946203</v>
      </c>
      <c r="W70" s="62">
        <v>4.2728904704725545</v>
      </c>
      <c r="X70" s="62">
        <v>9.0055149051379875</v>
      </c>
      <c r="Y70" s="62">
        <v>12.488302790896723</v>
      </c>
    </row>
    <row r="71" spans="1:25" s="19" customFormat="1" ht="15.95" customHeight="1" x14ac:dyDescent="0.25">
      <c r="A71" s="37"/>
      <c r="B71" s="38" t="s">
        <v>135</v>
      </c>
      <c r="C71" s="35"/>
      <c r="D71" s="61">
        <v>28.37119306716157</v>
      </c>
      <c r="E71" s="62">
        <v>39.470687544252677</v>
      </c>
      <c r="F71" s="62">
        <v>11.762739202231078</v>
      </c>
      <c r="G71" s="62">
        <v>11.416818312077472</v>
      </c>
      <c r="H71" s="62">
        <v>5.8571708334621313</v>
      </c>
      <c r="I71" s="62">
        <v>7.8069755230711726</v>
      </c>
      <c r="J71" s="62">
        <v>7.8372676891274393</v>
      </c>
      <c r="K71" s="62">
        <v>7.5325800169546975</v>
      </c>
      <c r="L71" s="62">
        <v>6.4437107967056333</v>
      </c>
      <c r="M71" s="62">
        <v>5.8404318462908202</v>
      </c>
      <c r="N71" s="62">
        <v>4.3819676277804209</v>
      </c>
      <c r="O71" s="62">
        <v>4.8981500869547805</v>
      </c>
      <c r="P71" s="62">
        <v>4.9552350605455295</v>
      </c>
      <c r="Q71" s="62">
        <v>4.9381502121314691</v>
      </c>
      <c r="R71" s="62">
        <v>4.6812449152113018</v>
      </c>
      <c r="S71" s="62">
        <v>4.5056326141004464</v>
      </c>
      <c r="T71" s="62">
        <v>5.9583008463782603</v>
      </c>
      <c r="U71" s="62">
        <v>36.156761387152443</v>
      </c>
      <c r="V71" s="62">
        <v>7.4744942853395155</v>
      </c>
      <c r="W71" s="62">
        <v>4.0593834816669023</v>
      </c>
      <c r="X71" s="62">
        <v>9.3821908680820219</v>
      </c>
      <c r="Y71" s="62">
        <v>11.108588146335366</v>
      </c>
    </row>
    <row r="72" spans="1:25" s="19" customFormat="1" ht="15.95" customHeight="1" x14ac:dyDescent="0.25">
      <c r="A72" s="37"/>
      <c r="B72" s="38" t="s">
        <v>136</v>
      </c>
      <c r="C72" s="35"/>
      <c r="D72" s="61">
        <v>29.943958925818013</v>
      </c>
      <c r="E72" s="62">
        <v>40.718617054585408</v>
      </c>
      <c r="F72" s="62">
        <v>12.953537302280091</v>
      </c>
      <c r="G72" s="62">
        <v>11.091414230304247</v>
      </c>
      <c r="H72" s="62">
        <v>5.9592628233806035</v>
      </c>
      <c r="I72" s="62">
        <v>7.8784323458555505</v>
      </c>
      <c r="J72" s="62">
        <v>7.7918540216331875</v>
      </c>
      <c r="K72" s="62">
        <v>8.6659219106699616</v>
      </c>
      <c r="L72" s="62">
        <v>7.8959732720154108</v>
      </c>
      <c r="M72" s="62">
        <v>5.0373646400114493</v>
      </c>
      <c r="N72" s="62">
        <v>5.5237456983883355</v>
      </c>
      <c r="O72" s="62">
        <v>4.7556867601315718</v>
      </c>
      <c r="P72" s="62">
        <v>5.5728947857672901</v>
      </c>
      <c r="Q72" s="62">
        <v>4.3611797461505111</v>
      </c>
      <c r="R72" s="62">
        <v>4.7362202362870489</v>
      </c>
      <c r="S72" s="62">
        <v>4.971505152921484</v>
      </c>
      <c r="T72" s="62">
        <v>6.4659520245543227</v>
      </c>
      <c r="U72" s="62">
        <v>35.872391042709339</v>
      </c>
      <c r="V72" s="62">
        <v>7.2480424050029155</v>
      </c>
      <c r="W72" s="62">
        <v>4.1845707838866941</v>
      </c>
      <c r="X72" s="62">
        <v>8.6800138754946712</v>
      </c>
      <c r="Y72" s="62">
        <v>9.9759351391123037</v>
      </c>
    </row>
    <row r="73" spans="1:25" s="19" customFormat="1" ht="15.95" customHeight="1" x14ac:dyDescent="0.25">
      <c r="A73" s="37"/>
      <c r="B73" s="38" t="s">
        <v>192</v>
      </c>
      <c r="C73" s="35"/>
      <c r="D73" s="61">
        <v>28.823600227493547</v>
      </c>
      <c r="E73" s="62">
        <v>38.195037497070871</v>
      </c>
      <c r="F73" s="62">
        <v>10.299237241771445</v>
      </c>
      <c r="G73" s="62">
        <v>7.3735691174557427</v>
      </c>
      <c r="H73" s="62">
        <v>4.6336550940015053</v>
      </c>
      <c r="I73" s="62">
        <v>6.273071581053598</v>
      </c>
      <c r="J73" s="62">
        <v>6.3915776792297203</v>
      </c>
      <c r="K73" s="62">
        <v>5.1353727312813824</v>
      </c>
      <c r="L73" s="62">
        <v>6.3336966879920071</v>
      </c>
      <c r="M73" s="62">
        <v>3.8752792555587585</v>
      </c>
      <c r="N73" s="62">
        <v>4.6312003121199217</v>
      </c>
      <c r="O73" s="62">
        <v>3.5027004299973106</v>
      </c>
      <c r="P73" s="62">
        <v>4.2666010789792477</v>
      </c>
      <c r="Q73" s="62">
        <v>3.7714605843710025</v>
      </c>
      <c r="R73" s="62">
        <v>2.7420705862237842</v>
      </c>
      <c r="S73" s="62">
        <v>3.7937851007857724</v>
      </c>
      <c r="T73" s="62">
        <v>6.3178080306886413</v>
      </c>
      <c r="U73" s="62">
        <v>29.168924769765731</v>
      </c>
      <c r="V73" s="62">
        <v>6.4134367485639716</v>
      </c>
      <c r="W73" s="62">
        <v>3.4786637816459218</v>
      </c>
      <c r="X73" s="62">
        <v>8.5047515626681864</v>
      </c>
      <c r="Y73" s="62">
        <v>7.6581034590903574</v>
      </c>
    </row>
    <row r="74" spans="1:25" s="19" customFormat="1" ht="15.95" customHeight="1" x14ac:dyDescent="0.25">
      <c r="A74" s="37"/>
      <c r="B74" s="38" t="s">
        <v>194</v>
      </c>
      <c r="C74" s="35"/>
      <c r="D74" s="61">
        <f>D$9</f>
        <v>26.610279537208175</v>
      </c>
      <c r="E74" s="62">
        <f t="shared" ref="E74:Y75" si="0">E$9</f>
        <v>37.835254042431018</v>
      </c>
      <c r="F74" s="62">
        <f t="shared" si="0"/>
        <v>10.501820888442046</v>
      </c>
      <c r="G74" s="62">
        <f t="shared" si="0"/>
        <v>7.3689575741943374</v>
      </c>
      <c r="H74" s="62">
        <f t="shared" si="0"/>
        <v>3.9110033167205636</v>
      </c>
      <c r="I74" s="62">
        <f t="shared" si="0"/>
        <v>7.386639030766565</v>
      </c>
      <c r="J74" s="62">
        <f t="shared" si="0"/>
        <v>6.9195073725832534</v>
      </c>
      <c r="K74" s="62">
        <f t="shared" si="0"/>
        <v>5.9061326568050498</v>
      </c>
      <c r="L74" s="62">
        <f t="shared" si="0"/>
        <v>6.2181009789370991</v>
      </c>
      <c r="M74" s="62">
        <f t="shared" si="0"/>
        <v>3.1087440719566817</v>
      </c>
      <c r="N74" s="62">
        <f t="shared" si="0"/>
        <v>2.8850443532798367</v>
      </c>
      <c r="O74" s="62">
        <f t="shared" si="0"/>
        <v>3.5736335615315751</v>
      </c>
      <c r="P74" s="62">
        <f t="shared" si="0"/>
        <v>2.2804485461540711</v>
      </c>
      <c r="Q74" s="62">
        <f t="shared" si="0"/>
        <v>3.5125830205644872</v>
      </c>
      <c r="R74" s="62">
        <f t="shared" si="0"/>
        <v>4.6988484912472659</v>
      </c>
      <c r="S74" s="62">
        <f t="shared" si="0"/>
        <v>4.0341323286787985</v>
      </c>
      <c r="T74" s="62">
        <f t="shared" si="0"/>
        <v>5.1045019962694234</v>
      </c>
      <c r="U74" s="62">
        <f t="shared" si="0"/>
        <v>28.758438007615503</v>
      </c>
      <c r="V74" s="62">
        <f t="shared" si="0"/>
        <v>5.9634062112663369</v>
      </c>
      <c r="W74" s="62">
        <f t="shared" si="0"/>
        <v>3.3869264918995734</v>
      </c>
      <c r="X74" s="62">
        <f t="shared" si="0"/>
        <v>5.5207917172216661</v>
      </c>
      <c r="Y74" s="62">
        <f t="shared" si="0"/>
        <v>7.4371199106855119</v>
      </c>
    </row>
    <row r="75" spans="1:25" s="19" customFormat="1" ht="15.95" customHeight="1" x14ac:dyDescent="0.25">
      <c r="A75" s="37"/>
      <c r="B75" s="38" t="s">
        <v>205</v>
      </c>
      <c r="C75" s="35"/>
      <c r="D75" s="61">
        <f>D$9</f>
        <v>26.610279537208175</v>
      </c>
      <c r="E75" s="62">
        <f t="shared" si="0"/>
        <v>37.835254042431018</v>
      </c>
      <c r="F75" s="62">
        <f t="shared" si="0"/>
        <v>10.501820888442046</v>
      </c>
      <c r="G75" s="62">
        <f t="shared" si="0"/>
        <v>7.3689575741943374</v>
      </c>
      <c r="H75" s="62">
        <f t="shared" si="0"/>
        <v>3.9110033167205636</v>
      </c>
      <c r="I75" s="62">
        <f t="shared" si="0"/>
        <v>7.386639030766565</v>
      </c>
      <c r="J75" s="62">
        <f t="shared" si="0"/>
        <v>6.9195073725832534</v>
      </c>
      <c r="K75" s="62">
        <f t="shared" si="0"/>
        <v>5.9061326568050498</v>
      </c>
      <c r="L75" s="62">
        <f t="shared" si="0"/>
        <v>6.2181009789370991</v>
      </c>
      <c r="M75" s="62">
        <f t="shared" si="0"/>
        <v>3.1087440719566817</v>
      </c>
      <c r="N75" s="62">
        <f t="shared" si="0"/>
        <v>2.8850443532798367</v>
      </c>
      <c r="O75" s="62">
        <f t="shared" si="0"/>
        <v>3.5736335615315751</v>
      </c>
      <c r="P75" s="62">
        <f t="shared" si="0"/>
        <v>2.2804485461540711</v>
      </c>
      <c r="Q75" s="62">
        <f t="shared" si="0"/>
        <v>3.5125830205644872</v>
      </c>
      <c r="R75" s="62">
        <f t="shared" si="0"/>
        <v>4.6988484912472659</v>
      </c>
      <c r="S75" s="62">
        <f t="shared" si="0"/>
        <v>4.0341323286787985</v>
      </c>
      <c r="T75" s="62">
        <f t="shared" si="0"/>
        <v>5.1045019962694234</v>
      </c>
      <c r="U75" s="62">
        <f t="shared" si="0"/>
        <v>28.758438007615503</v>
      </c>
      <c r="V75" s="62">
        <f t="shared" si="0"/>
        <v>5.9634062112663369</v>
      </c>
      <c r="W75" s="62">
        <f t="shared" si="0"/>
        <v>3.3869264918995734</v>
      </c>
      <c r="X75" s="62">
        <f t="shared" si="0"/>
        <v>5.5207917172216661</v>
      </c>
      <c r="Y75" s="62">
        <f t="shared" si="0"/>
        <v>7.4371199106855119</v>
      </c>
    </row>
    <row r="76" spans="1:25" s="23" customFormat="1" ht="6" customHeight="1" x14ac:dyDescent="0.25">
      <c r="A76" s="39"/>
      <c r="B76" s="40"/>
      <c r="C76" s="41"/>
      <c r="D76" s="42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6.5" customHeight="1" x14ac:dyDescent="0.25">
      <c r="A77" s="44"/>
      <c r="O77" s="144"/>
    </row>
  </sheetData>
  <mergeCells count="1">
    <mergeCell ref="A5:C5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3" max="16383" man="1"/>
  </rowBreaks>
  <colBreaks count="1" manualBreakCount="1">
    <brk id="1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B2F7-EC1E-4EBD-82C7-8AE98183855C}">
  <sheetPr codeName="工作表67"/>
  <dimension ref="A1:V102"/>
  <sheetViews>
    <sheetView showGridLines="0" view="pageBreakPreview" zoomScale="85" zoomScaleNormal="70" zoomScaleSheetLayoutView="85" workbookViewId="0">
      <selection activeCell="R25" sqref="R25"/>
    </sheetView>
  </sheetViews>
  <sheetFormatPr defaultColWidth="9" defaultRowHeight="11.1" customHeight="1" x14ac:dyDescent="0.25"/>
  <cols>
    <col min="1" max="1" width="0.75" style="18" customWidth="1"/>
    <col min="2" max="2" width="15" style="44" customWidth="1"/>
    <col min="3" max="3" width="1.125" style="45" customWidth="1"/>
    <col min="4" max="4" width="8" style="46" customWidth="1"/>
    <col min="5" max="20" width="8" style="47" customWidth="1"/>
    <col min="21" max="16384" width="9" style="46"/>
  </cols>
  <sheetData>
    <row r="1" spans="1:22" s="14" customFormat="1" ht="22.15" customHeight="1" x14ac:dyDescent="0.25">
      <c r="A1" s="49"/>
      <c r="B1" s="49"/>
      <c r="C1" s="49"/>
      <c r="D1" s="49"/>
      <c r="E1" s="21" t="s">
        <v>274</v>
      </c>
      <c r="F1" s="152" t="s">
        <v>186</v>
      </c>
      <c r="G1" s="49"/>
      <c r="H1" s="49"/>
      <c r="I1" s="49"/>
      <c r="J1" s="49"/>
      <c r="K1" s="17"/>
      <c r="L1" s="22"/>
      <c r="M1" s="152" t="s">
        <v>278</v>
      </c>
      <c r="N1" s="17"/>
      <c r="Q1" s="50"/>
      <c r="R1" s="17"/>
      <c r="S1" s="17"/>
      <c r="T1" s="17"/>
    </row>
    <row r="2" spans="1:22" s="14" customFormat="1" ht="16.149999999999999" customHeight="1" x14ac:dyDescent="0.25">
      <c r="A2" s="22"/>
      <c r="B2" s="22"/>
      <c r="C2" s="22"/>
      <c r="D2" s="22"/>
      <c r="E2" s="22"/>
      <c r="F2" s="10" t="s">
        <v>280</v>
      </c>
      <c r="G2" s="22"/>
      <c r="H2" s="22"/>
      <c r="I2" s="22"/>
      <c r="J2" s="22"/>
      <c r="K2" s="10"/>
      <c r="L2" s="10"/>
      <c r="M2" s="10" t="s">
        <v>280</v>
      </c>
      <c r="N2" s="10"/>
      <c r="O2" s="10"/>
      <c r="P2" s="10"/>
      <c r="Q2" s="284"/>
      <c r="R2" s="284"/>
      <c r="S2" s="284"/>
      <c r="T2" s="284"/>
      <c r="U2" s="284"/>
      <c r="V2" s="284"/>
    </row>
    <row r="3" spans="1:22" s="19" customFormat="1" ht="13.5" customHeight="1" x14ac:dyDescent="0.25">
      <c r="A3" s="48"/>
      <c r="B3" s="48"/>
      <c r="C3" s="48"/>
      <c r="D3" s="48"/>
      <c r="E3" s="45" t="s">
        <v>187</v>
      </c>
      <c r="F3" s="44" t="s">
        <v>188</v>
      </c>
      <c r="G3" s="48"/>
      <c r="H3" s="48"/>
      <c r="I3" s="48"/>
      <c r="J3" s="48"/>
      <c r="L3" s="48"/>
      <c r="M3" s="44" t="s">
        <v>188</v>
      </c>
    </row>
    <row r="4" spans="1:22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7"/>
      <c r="J4" s="27"/>
      <c r="K4" s="27"/>
      <c r="L4" s="76" t="s">
        <v>160</v>
      </c>
      <c r="M4" s="27"/>
      <c r="N4" s="27"/>
      <c r="P4" s="76"/>
      <c r="Q4" s="27"/>
      <c r="R4" s="27"/>
      <c r="S4" s="27"/>
      <c r="T4" s="76" t="s">
        <v>160</v>
      </c>
    </row>
    <row r="5" spans="1:22" s="19" customFormat="1" ht="6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93"/>
      <c r="R5" s="51"/>
      <c r="S5" s="51"/>
      <c r="T5" s="51"/>
    </row>
    <row r="6" spans="1:22" s="19" customFormat="1" ht="6.75" customHeight="1" x14ac:dyDescent="0.25">
      <c r="A6" s="260"/>
      <c r="B6" s="260"/>
      <c r="C6" s="261"/>
      <c r="D6" s="261"/>
      <c r="E6" s="265"/>
      <c r="F6" s="287" t="s">
        <v>177</v>
      </c>
      <c r="G6" s="52"/>
      <c r="H6" s="52"/>
      <c r="I6" s="52"/>
      <c r="J6" s="52"/>
      <c r="K6" s="52"/>
      <c r="M6" s="290" t="s">
        <v>89</v>
      </c>
      <c r="N6" s="53"/>
      <c r="O6" s="53"/>
      <c r="P6" s="53"/>
      <c r="Q6" s="290" t="s">
        <v>90</v>
      </c>
      <c r="R6" s="53"/>
      <c r="S6" s="53"/>
      <c r="T6" s="53"/>
    </row>
    <row r="7" spans="1:22" s="19" customFormat="1" ht="11.25" customHeight="1" x14ac:dyDescent="0.25">
      <c r="A7" s="260"/>
      <c r="B7" s="260"/>
      <c r="C7" s="261"/>
      <c r="D7" s="261"/>
      <c r="E7" s="265"/>
      <c r="F7" s="288"/>
      <c r="G7" s="270" t="s">
        <v>14</v>
      </c>
      <c r="H7" s="270" t="s">
        <v>15</v>
      </c>
      <c r="I7" s="270" t="s">
        <v>13</v>
      </c>
      <c r="J7" s="270" t="s">
        <v>229</v>
      </c>
      <c r="K7" s="270" t="s">
        <v>228</v>
      </c>
      <c r="L7" s="272" t="s">
        <v>230</v>
      </c>
      <c r="M7" s="288"/>
      <c r="N7" s="270" t="s">
        <v>16</v>
      </c>
      <c r="O7" s="270" t="s">
        <v>231</v>
      </c>
      <c r="P7" s="272" t="s">
        <v>197</v>
      </c>
      <c r="Q7" s="288"/>
      <c r="R7" s="270" t="s">
        <v>17</v>
      </c>
      <c r="S7" s="270" t="s">
        <v>18</v>
      </c>
      <c r="T7" s="272" t="s">
        <v>196</v>
      </c>
    </row>
    <row r="8" spans="1:22" s="19" customFormat="1" ht="28.5" customHeight="1" x14ac:dyDescent="0.25">
      <c r="A8" s="262"/>
      <c r="B8" s="262"/>
      <c r="C8" s="263"/>
      <c r="D8" s="263"/>
      <c r="E8" s="266"/>
      <c r="F8" s="289"/>
      <c r="G8" s="271" t="s">
        <v>64</v>
      </c>
      <c r="H8" s="271" t="s">
        <v>66</v>
      </c>
      <c r="I8" s="271" t="s">
        <v>65</v>
      </c>
      <c r="J8" s="271" t="s">
        <v>68</v>
      </c>
      <c r="K8" s="271"/>
      <c r="L8" s="273" t="s">
        <v>67</v>
      </c>
      <c r="M8" s="289"/>
      <c r="N8" s="271"/>
      <c r="O8" s="271"/>
      <c r="P8" s="273"/>
      <c r="Q8" s="289"/>
      <c r="R8" s="271"/>
      <c r="S8" s="271"/>
      <c r="T8" s="273"/>
    </row>
    <row r="9" spans="1:22" s="18" customFormat="1" ht="14.1" customHeight="1" x14ac:dyDescent="0.25">
      <c r="A9" s="33" t="s">
        <v>22</v>
      </c>
      <c r="B9" s="54"/>
      <c r="C9" s="55"/>
      <c r="D9" s="56">
        <v>64963.630763549656</v>
      </c>
      <c r="E9" s="57">
        <v>100</v>
      </c>
      <c r="F9" s="58">
        <v>12.996964749536808</v>
      </c>
      <c r="G9" s="58">
        <v>4.2633395944044112</v>
      </c>
      <c r="H9" s="58">
        <v>0.60174200527455546</v>
      </c>
      <c r="I9" s="58">
        <v>1.4463852580384515</v>
      </c>
      <c r="J9" s="58">
        <v>4.8904371685680212</v>
      </c>
      <c r="K9" s="58">
        <v>1.7080557704329569</v>
      </c>
      <c r="L9" s="58">
        <v>8.7004952818321393E-2</v>
      </c>
      <c r="M9" s="58">
        <v>10.670679819666768</v>
      </c>
      <c r="N9" s="58">
        <v>7.8938433656781388</v>
      </c>
      <c r="O9" s="58">
        <v>2.6034487772344885</v>
      </c>
      <c r="P9" s="58">
        <v>0.17338767675413719</v>
      </c>
      <c r="Q9" s="58">
        <v>76.332355430795786</v>
      </c>
      <c r="R9" s="58">
        <v>46.21177272025222</v>
      </c>
      <c r="S9" s="58">
        <v>28.263388748253913</v>
      </c>
      <c r="T9" s="58">
        <v>1.857193962285731</v>
      </c>
    </row>
    <row r="10" spans="1:22" s="19" customFormat="1" ht="14.1" customHeight="1" x14ac:dyDescent="0.25">
      <c r="A10" s="37" t="s">
        <v>23</v>
      </c>
      <c r="B10" s="38"/>
      <c r="C10" s="36" t="str">
        <f>'D14'!C10</f>
        <v>***</v>
      </c>
      <c r="D10" s="60"/>
      <c r="E10" s="61"/>
      <c r="F10" s="58"/>
      <c r="G10" s="62"/>
      <c r="H10" s="62"/>
      <c r="I10" s="62"/>
      <c r="J10" s="62"/>
      <c r="K10" s="62"/>
      <c r="L10" s="62"/>
      <c r="M10" s="58"/>
      <c r="N10" s="62"/>
      <c r="O10" s="62"/>
      <c r="P10" s="62"/>
      <c r="Q10" s="58"/>
      <c r="R10" s="62"/>
      <c r="S10" s="62"/>
      <c r="T10" s="62"/>
    </row>
    <row r="11" spans="1:22" s="19" customFormat="1" ht="14.1" customHeight="1" x14ac:dyDescent="0.25">
      <c r="A11" s="37"/>
      <c r="B11" s="38" t="s">
        <v>24</v>
      </c>
      <c r="C11" s="36">
        <f>'D14'!C11</f>
        <v>0</v>
      </c>
      <c r="D11" s="60">
        <v>10223.696897919206</v>
      </c>
      <c r="E11" s="61">
        <v>100</v>
      </c>
      <c r="F11" s="58">
        <v>26.610279537208175</v>
      </c>
      <c r="G11" s="62">
        <v>12.581028737935464</v>
      </c>
      <c r="H11" s="62">
        <v>0.50423791573057042</v>
      </c>
      <c r="I11" s="62">
        <v>1.6934564782699377</v>
      </c>
      <c r="J11" s="62">
        <v>8.5933127552639323</v>
      </c>
      <c r="K11" s="62">
        <v>3.2204347499854382</v>
      </c>
      <c r="L11" s="62">
        <v>1.7808900022889596E-2</v>
      </c>
      <c r="M11" s="58">
        <v>11.645506588819714</v>
      </c>
      <c r="N11" s="62">
        <v>10.349720683368693</v>
      </c>
      <c r="O11" s="62">
        <v>1.1636578838698144</v>
      </c>
      <c r="P11" s="62">
        <v>0.13212802158119447</v>
      </c>
      <c r="Q11" s="58">
        <v>61.74421387397247</v>
      </c>
      <c r="R11" s="62">
        <v>40.472669059585172</v>
      </c>
      <c r="S11" s="62">
        <v>20.541758705539653</v>
      </c>
      <c r="T11" s="62">
        <v>0.72978610884735939</v>
      </c>
    </row>
    <row r="12" spans="1:22" s="19" customFormat="1" ht="14.1" customHeight="1" x14ac:dyDescent="0.25">
      <c r="A12" s="37"/>
      <c r="B12" s="38" t="s">
        <v>25</v>
      </c>
      <c r="C12" s="36">
        <f>'D14'!C12</f>
        <v>0</v>
      </c>
      <c r="D12" s="60">
        <v>6711.7653687705688</v>
      </c>
      <c r="E12" s="61">
        <v>100</v>
      </c>
      <c r="F12" s="58">
        <v>37.835254042431018</v>
      </c>
      <c r="G12" s="62">
        <v>17.95336947003538</v>
      </c>
      <c r="H12" s="62">
        <v>0.50769137738526593</v>
      </c>
      <c r="I12" s="62">
        <v>0.90023002297360033</v>
      </c>
      <c r="J12" s="62">
        <v>11.32152548426131</v>
      </c>
      <c r="K12" s="62">
        <v>6.963811765668126</v>
      </c>
      <c r="L12" s="62">
        <v>0.18862592210723814</v>
      </c>
      <c r="M12" s="58">
        <v>19.73113914753689</v>
      </c>
      <c r="N12" s="62">
        <v>15.725823645827349</v>
      </c>
      <c r="O12" s="62">
        <v>3.9870859134659735</v>
      </c>
      <c r="P12" s="62">
        <v>1.8229588243547798E-2</v>
      </c>
      <c r="Q12" s="58">
        <v>42.433606810032245</v>
      </c>
      <c r="R12" s="62">
        <v>22.599256179599468</v>
      </c>
      <c r="S12" s="62">
        <v>19.133935310865549</v>
      </c>
      <c r="T12" s="62">
        <v>0.70041531956719361</v>
      </c>
    </row>
    <row r="13" spans="1:22" s="19" customFormat="1" ht="14.1" customHeight="1" x14ac:dyDescent="0.25">
      <c r="A13" s="37"/>
      <c r="B13" s="38" t="s">
        <v>26</v>
      </c>
      <c r="C13" s="36">
        <f>'D14'!C13</f>
        <v>0</v>
      </c>
      <c r="D13" s="60">
        <v>6708.0223235026142</v>
      </c>
      <c r="E13" s="61">
        <v>100</v>
      </c>
      <c r="F13" s="58">
        <v>10.501820888442046</v>
      </c>
      <c r="G13" s="62">
        <v>1.4411386644844404</v>
      </c>
      <c r="H13" s="62">
        <v>0.58282926555740799</v>
      </c>
      <c r="I13" s="62">
        <v>2.054143070617684</v>
      </c>
      <c r="J13" s="62">
        <v>5.4915397029144524</v>
      </c>
      <c r="K13" s="62">
        <v>0.93217018486806236</v>
      </c>
      <c r="L13" s="62">
        <v>0</v>
      </c>
      <c r="M13" s="58">
        <v>11.294940236107539</v>
      </c>
      <c r="N13" s="62">
        <v>9.0121425485229434</v>
      </c>
      <c r="O13" s="62">
        <v>2.0545435647343977</v>
      </c>
      <c r="P13" s="62">
        <v>0.22825412285021057</v>
      </c>
      <c r="Q13" s="58">
        <v>78.203238875450566</v>
      </c>
      <c r="R13" s="62">
        <v>45.050673125543568</v>
      </c>
      <c r="S13" s="62">
        <v>31.652257375224778</v>
      </c>
      <c r="T13" s="62">
        <v>1.500308374682173</v>
      </c>
    </row>
    <row r="14" spans="1:22" s="19" customFormat="1" ht="14.1" customHeight="1" x14ac:dyDescent="0.25">
      <c r="A14" s="37"/>
      <c r="B14" s="38" t="s">
        <v>27</v>
      </c>
      <c r="C14" s="36">
        <f>'D14'!C14</f>
        <v>0</v>
      </c>
      <c r="D14" s="60">
        <v>7038.8311471793286</v>
      </c>
      <c r="E14" s="61">
        <v>100</v>
      </c>
      <c r="F14" s="58">
        <v>7.3689575741943374</v>
      </c>
      <c r="G14" s="62">
        <v>0.22111532443884155</v>
      </c>
      <c r="H14" s="62">
        <v>0.13321893147795377</v>
      </c>
      <c r="I14" s="62">
        <v>1.5589109382851389</v>
      </c>
      <c r="J14" s="62">
        <v>4.6727395923725368</v>
      </c>
      <c r="K14" s="62">
        <v>0.75249807044585648</v>
      </c>
      <c r="L14" s="62">
        <v>3.047471717401334E-2</v>
      </c>
      <c r="M14" s="58">
        <v>8.9863250110502673</v>
      </c>
      <c r="N14" s="62">
        <v>6.7545144223502227</v>
      </c>
      <c r="O14" s="62">
        <v>1.8996589549205147</v>
      </c>
      <c r="P14" s="62">
        <v>0.33215163377953472</v>
      </c>
      <c r="Q14" s="58">
        <v>83.644717414755334</v>
      </c>
      <c r="R14" s="62">
        <v>49.765560551286754</v>
      </c>
      <c r="S14" s="62">
        <v>32.416993919049574</v>
      </c>
      <c r="T14" s="62">
        <v>1.4621629444188569</v>
      </c>
    </row>
    <row r="15" spans="1:22" s="19" customFormat="1" ht="14.1" customHeight="1" x14ac:dyDescent="0.25">
      <c r="A15" s="37"/>
      <c r="B15" s="38" t="s">
        <v>28</v>
      </c>
      <c r="C15" s="36">
        <f>'D14'!C15</f>
        <v>0</v>
      </c>
      <c r="D15" s="60">
        <v>5905.217535680903</v>
      </c>
      <c r="E15" s="61">
        <v>100</v>
      </c>
      <c r="F15" s="58">
        <v>3.9110033167205636</v>
      </c>
      <c r="G15" s="62">
        <v>3.078212935095534E-2</v>
      </c>
      <c r="H15" s="62">
        <v>0.61179539128151694</v>
      </c>
      <c r="I15" s="62">
        <v>1.1098320897125964</v>
      </c>
      <c r="J15" s="62">
        <v>1.6321338115321771</v>
      </c>
      <c r="K15" s="62">
        <v>0.51624373429748349</v>
      </c>
      <c r="L15" s="62">
        <v>1.0216160545834643E-2</v>
      </c>
      <c r="M15" s="58">
        <v>8.9094724136707235</v>
      </c>
      <c r="N15" s="62">
        <v>4.8100535158959872</v>
      </c>
      <c r="O15" s="62">
        <v>3.6551739922986917</v>
      </c>
      <c r="P15" s="62">
        <v>0.44424490547603385</v>
      </c>
      <c r="Q15" s="58">
        <v>87.179524269608706</v>
      </c>
      <c r="R15" s="62">
        <v>54.381948745791881</v>
      </c>
      <c r="S15" s="62">
        <v>30.177909108296038</v>
      </c>
      <c r="T15" s="62">
        <v>2.619666415520848</v>
      </c>
    </row>
    <row r="16" spans="1:22" s="19" customFormat="1" ht="14.1" customHeight="1" x14ac:dyDescent="0.25">
      <c r="A16" s="37"/>
      <c r="B16" s="38" t="s">
        <v>29</v>
      </c>
      <c r="C16" s="36">
        <f>'D14'!C16</f>
        <v>0</v>
      </c>
      <c r="D16" s="60">
        <v>8427.3613606957624</v>
      </c>
      <c r="E16" s="61">
        <v>100</v>
      </c>
      <c r="F16" s="58">
        <v>7.386639030766565</v>
      </c>
      <c r="G16" s="62">
        <v>1.6952741404611973</v>
      </c>
      <c r="H16" s="62">
        <v>1.9503480128824591</v>
      </c>
      <c r="I16" s="62">
        <v>1.6272810598784979</v>
      </c>
      <c r="J16" s="62">
        <v>1.3272497109116537</v>
      </c>
      <c r="K16" s="62">
        <v>0.42062662489027591</v>
      </c>
      <c r="L16" s="62">
        <v>0.36585948174247851</v>
      </c>
      <c r="M16" s="58">
        <v>8.4051170398512625</v>
      </c>
      <c r="N16" s="62">
        <v>5.3928519043468999</v>
      </c>
      <c r="O16" s="62">
        <v>2.9039683240484391</v>
      </c>
      <c r="P16" s="62">
        <v>0.10829681145591333</v>
      </c>
      <c r="Q16" s="58">
        <v>84.20824392938222</v>
      </c>
      <c r="R16" s="62">
        <v>57.867718235963977</v>
      </c>
      <c r="S16" s="62">
        <v>24.441603663161164</v>
      </c>
      <c r="T16" s="62">
        <v>1.8989220302572414</v>
      </c>
    </row>
    <row r="17" spans="1:20" s="19" customFormat="1" ht="14.1" customHeight="1" x14ac:dyDescent="0.25">
      <c r="A17" s="37"/>
      <c r="B17" s="38" t="s">
        <v>30</v>
      </c>
      <c r="C17" s="36">
        <f>'D14'!C17</f>
        <v>0</v>
      </c>
      <c r="D17" s="60">
        <v>1393.9731726661441</v>
      </c>
      <c r="E17" s="61">
        <v>100</v>
      </c>
      <c r="F17" s="58">
        <v>6.9195073725832534</v>
      </c>
      <c r="G17" s="62">
        <v>0.37035549276604662</v>
      </c>
      <c r="H17" s="62">
        <v>6.5576024130806015E-2</v>
      </c>
      <c r="I17" s="62">
        <v>1.1383101725804419</v>
      </c>
      <c r="J17" s="62">
        <v>4.9555284830180319</v>
      </c>
      <c r="K17" s="62">
        <v>0.389737200087932</v>
      </c>
      <c r="L17" s="62">
        <v>0</v>
      </c>
      <c r="M17" s="58">
        <v>8.8557952746172326</v>
      </c>
      <c r="N17" s="62">
        <v>5.7209066355694631</v>
      </c>
      <c r="O17" s="62">
        <v>2.9965848525901908</v>
      </c>
      <c r="P17" s="62">
        <v>0.1383037864575718</v>
      </c>
      <c r="Q17" s="58">
        <v>84.22469735280032</v>
      </c>
      <c r="R17" s="62">
        <v>42.495108376715514</v>
      </c>
      <c r="S17" s="62">
        <v>40.565639886200699</v>
      </c>
      <c r="T17" s="62">
        <v>1.1639490898844236</v>
      </c>
    </row>
    <row r="18" spans="1:20" s="19" customFormat="1" ht="14.1" customHeight="1" x14ac:dyDescent="0.25">
      <c r="A18" s="37"/>
      <c r="B18" s="38" t="s">
        <v>31</v>
      </c>
      <c r="C18" s="36">
        <f>'D14'!C18</f>
        <v>0</v>
      </c>
      <c r="D18" s="60">
        <v>1667.8871299640866</v>
      </c>
      <c r="E18" s="61">
        <v>100</v>
      </c>
      <c r="F18" s="58">
        <v>5.9061326568050498</v>
      </c>
      <c r="G18" s="62">
        <v>4.1865437968276166E-2</v>
      </c>
      <c r="H18" s="62">
        <v>0.64767168903474104</v>
      </c>
      <c r="I18" s="62">
        <v>1.6255045667173804</v>
      </c>
      <c r="J18" s="62">
        <v>2.2260958126313111</v>
      </c>
      <c r="K18" s="62">
        <v>1.3649951504533444</v>
      </c>
      <c r="L18" s="62">
        <v>0</v>
      </c>
      <c r="M18" s="58">
        <v>9.5970753851638815</v>
      </c>
      <c r="N18" s="62">
        <v>6.8365706209975148</v>
      </c>
      <c r="O18" s="62">
        <v>2.7463255561772613</v>
      </c>
      <c r="P18" s="62">
        <v>1.4179207989101458E-2</v>
      </c>
      <c r="Q18" s="58">
        <v>84.496791958030457</v>
      </c>
      <c r="R18" s="62">
        <v>47.28310262099216</v>
      </c>
      <c r="S18" s="62">
        <v>35.792901499588304</v>
      </c>
      <c r="T18" s="62">
        <v>1.4207878374494312</v>
      </c>
    </row>
    <row r="19" spans="1:20" s="19" customFormat="1" ht="14.1" customHeight="1" x14ac:dyDescent="0.25">
      <c r="A19" s="37"/>
      <c r="B19" s="38" t="s">
        <v>32</v>
      </c>
      <c r="C19" s="36">
        <f>'D14'!C19</f>
        <v>0</v>
      </c>
      <c r="D19" s="60">
        <v>1563.9616450668389</v>
      </c>
      <c r="E19" s="61">
        <v>100</v>
      </c>
      <c r="F19" s="58">
        <v>6.2181009789370991</v>
      </c>
      <c r="G19" s="62">
        <v>0.57235514894991435</v>
      </c>
      <c r="H19" s="62">
        <v>0.18326807097731032</v>
      </c>
      <c r="I19" s="62">
        <v>2.3277634021970783</v>
      </c>
      <c r="J19" s="62">
        <v>2.9723537002847733</v>
      </c>
      <c r="K19" s="62">
        <v>0.16236065652802251</v>
      </c>
      <c r="L19" s="62">
        <v>0</v>
      </c>
      <c r="M19" s="58">
        <v>8.9883911277722692</v>
      </c>
      <c r="N19" s="62">
        <v>6.5352345812062937</v>
      </c>
      <c r="O19" s="62">
        <v>2.413804374165287</v>
      </c>
      <c r="P19" s="62">
        <v>3.9352172400686329E-2</v>
      </c>
      <c r="Q19" s="58">
        <v>84.793507893290595</v>
      </c>
      <c r="R19" s="62">
        <v>42.236899359559004</v>
      </c>
      <c r="S19" s="62">
        <v>40.692592964245186</v>
      </c>
      <c r="T19" s="62">
        <v>1.8640155694861273</v>
      </c>
    </row>
    <row r="20" spans="1:20" s="19" customFormat="1" ht="14.1" customHeight="1" x14ac:dyDescent="0.25">
      <c r="A20" s="37"/>
      <c r="B20" s="38" t="s">
        <v>33</v>
      </c>
      <c r="C20" s="36">
        <f>'D14'!C20</f>
        <v>0</v>
      </c>
      <c r="D20" s="60">
        <v>2955.3726000839661</v>
      </c>
      <c r="E20" s="61">
        <v>100</v>
      </c>
      <c r="F20" s="58">
        <v>3.1087440719566817</v>
      </c>
      <c r="G20" s="62">
        <v>2.3771892039491316E-2</v>
      </c>
      <c r="H20" s="62">
        <v>8.766290558007904E-2</v>
      </c>
      <c r="I20" s="62">
        <v>1.1317518689461732</v>
      </c>
      <c r="J20" s="62">
        <v>1.8655574053909372</v>
      </c>
      <c r="K20" s="62">
        <v>0</v>
      </c>
      <c r="L20" s="62">
        <v>0</v>
      </c>
      <c r="M20" s="58">
        <v>7.0558706804905427</v>
      </c>
      <c r="N20" s="62">
        <v>3.7430807751086248</v>
      </c>
      <c r="O20" s="62">
        <v>3.2507486569737187</v>
      </c>
      <c r="P20" s="62">
        <v>6.2041248408192917E-2</v>
      </c>
      <c r="Q20" s="58">
        <v>89.835385247552537</v>
      </c>
      <c r="R20" s="62">
        <v>51.196436874894459</v>
      </c>
      <c r="S20" s="62">
        <v>34.810291582203185</v>
      </c>
      <c r="T20" s="62">
        <v>3.828656790454672</v>
      </c>
    </row>
    <row r="21" spans="1:20" s="19" customFormat="1" ht="14.1" customHeight="1" x14ac:dyDescent="0.25">
      <c r="A21" s="37"/>
      <c r="B21" s="38" t="s">
        <v>34</v>
      </c>
      <c r="C21" s="36">
        <f>'D14'!C21</f>
        <v>0</v>
      </c>
      <c r="D21" s="60">
        <v>1463.8493177621353</v>
      </c>
      <c r="E21" s="61">
        <v>100</v>
      </c>
      <c r="F21" s="58">
        <v>2.8850443532798367</v>
      </c>
      <c r="G21" s="62">
        <v>1.614096463327926E-2</v>
      </c>
      <c r="H21" s="62">
        <v>0.28603432475189394</v>
      </c>
      <c r="I21" s="62">
        <v>7.1378950493169752E-2</v>
      </c>
      <c r="J21" s="62">
        <v>2.3972573812116877</v>
      </c>
      <c r="K21" s="62">
        <v>0.11423273218980456</v>
      </c>
      <c r="L21" s="62">
        <v>0</v>
      </c>
      <c r="M21" s="58">
        <v>9.3759996237235566</v>
      </c>
      <c r="N21" s="62">
        <v>8.0580812523661667</v>
      </c>
      <c r="O21" s="62">
        <v>1.0964369232339888</v>
      </c>
      <c r="P21" s="62">
        <v>0.22148144812340551</v>
      </c>
      <c r="Q21" s="58">
        <v>87.738956022995779</v>
      </c>
      <c r="R21" s="62">
        <v>50.878486979955312</v>
      </c>
      <c r="S21" s="62">
        <v>31.274246537386144</v>
      </c>
      <c r="T21" s="62">
        <v>5.5862225056536454</v>
      </c>
    </row>
    <row r="22" spans="1:20" s="19" customFormat="1" ht="14.1" customHeight="1" x14ac:dyDescent="0.25">
      <c r="A22" s="37"/>
      <c r="B22" s="38" t="s">
        <v>35</v>
      </c>
      <c r="C22" s="36">
        <f>'D14'!C22</f>
        <v>0</v>
      </c>
      <c r="D22" s="60">
        <v>1999.5906677113016</v>
      </c>
      <c r="E22" s="61">
        <v>100</v>
      </c>
      <c r="F22" s="58">
        <v>3.5736335615315751</v>
      </c>
      <c r="G22" s="62">
        <v>0</v>
      </c>
      <c r="H22" s="62">
        <v>2.4123485667802976E-2</v>
      </c>
      <c r="I22" s="62">
        <v>0.6026116415392806</v>
      </c>
      <c r="J22" s="62">
        <v>2.9017379985982434</v>
      </c>
      <c r="K22" s="62">
        <v>4.5160435726246569E-2</v>
      </c>
      <c r="L22" s="62">
        <v>0</v>
      </c>
      <c r="M22" s="58">
        <v>9.270103080973584</v>
      </c>
      <c r="N22" s="62">
        <v>3.873746666892691</v>
      </c>
      <c r="O22" s="62">
        <v>5.1213304946297944</v>
      </c>
      <c r="P22" s="62">
        <v>0.27502591945111804</v>
      </c>
      <c r="Q22" s="58">
        <v>87.156263357494865</v>
      </c>
      <c r="R22" s="62">
        <v>47.088090549069712</v>
      </c>
      <c r="S22" s="62">
        <v>35.099178094913128</v>
      </c>
      <c r="T22" s="62">
        <v>4.9689947135122701</v>
      </c>
    </row>
    <row r="23" spans="1:20" s="19" customFormat="1" ht="14.1" customHeight="1" x14ac:dyDescent="0.25">
      <c r="A23" s="37"/>
      <c r="B23" s="38" t="s">
        <v>36</v>
      </c>
      <c r="C23" s="36">
        <f>'D14'!C23</f>
        <v>0</v>
      </c>
      <c r="D23" s="60">
        <v>1366.4926183632108</v>
      </c>
      <c r="E23" s="61">
        <v>100</v>
      </c>
      <c r="F23" s="58">
        <v>2.2804485461540711</v>
      </c>
      <c r="G23" s="62">
        <v>0</v>
      </c>
      <c r="H23" s="62">
        <v>0.21097603793278377</v>
      </c>
      <c r="I23" s="62">
        <v>1.4553649710582408</v>
      </c>
      <c r="J23" s="62">
        <v>0.48436864081662812</v>
      </c>
      <c r="K23" s="62">
        <v>0.12973889634641902</v>
      </c>
      <c r="L23" s="62">
        <v>0</v>
      </c>
      <c r="M23" s="58">
        <v>10.076461258316986</v>
      </c>
      <c r="N23" s="62">
        <v>6.5081432936137453</v>
      </c>
      <c r="O23" s="62">
        <v>3.4308808294362825</v>
      </c>
      <c r="P23" s="62">
        <v>0.13743713526695239</v>
      </c>
      <c r="Q23" s="58">
        <v>87.643090195528558</v>
      </c>
      <c r="R23" s="62">
        <v>49.045138130437721</v>
      </c>
      <c r="S23" s="62">
        <v>34.117811862778503</v>
      </c>
      <c r="T23" s="62">
        <v>4.4801402023123496</v>
      </c>
    </row>
    <row r="24" spans="1:20" s="19" customFormat="1" ht="14.1" customHeight="1" x14ac:dyDescent="0.25">
      <c r="A24" s="37"/>
      <c r="B24" s="38" t="s">
        <v>37</v>
      </c>
      <c r="C24" s="36">
        <f>'D14'!C24</f>
        <v>0</v>
      </c>
      <c r="D24" s="60">
        <v>1907.1762162940042</v>
      </c>
      <c r="E24" s="61">
        <v>100</v>
      </c>
      <c r="F24" s="58">
        <v>3.5125830205644872</v>
      </c>
      <c r="G24" s="62">
        <v>5.4649139970027558E-2</v>
      </c>
      <c r="H24" s="62">
        <v>0.244397200653418</v>
      </c>
      <c r="I24" s="62">
        <v>0.6660262584557135</v>
      </c>
      <c r="J24" s="62">
        <v>2.2740916739238051</v>
      </c>
      <c r="K24" s="62">
        <v>2.9010209351062348E-2</v>
      </c>
      <c r="L24" s="62">
        <v>0.24440853821045805</v>
      </c>
      <c r="M24" s="58">
        <v>6.5635799073486849</v>
      </c>
      <c r="N24" s="62">
        <v>3.0613217570964482</v>
      </c>
      <c r="O24" s="62">
        <v>3.3741534862635403</v>
      </c>
      <c r="P24" s="62">
        <v>0.12810466398869735</v>
      </c>
      <c r="Q24" s="58">
        <v>89.923837072086698</v>
      </c>
      <c r="R24" s="62">
        <v>59.156548431140529</v>
      </c>
      <c r="S24" s="62">
        <v>26.860023391757789</v>
      </c>
      <c r="T24" s="62">
        <v>3.9072652491886726</v>
      </c>
    </row>
    <row r="25" spans="1:20" s="19" customFormat="1" ht="14.1" customHeight="1" x14ac:dyDescent="0.25">
      <c r="A25" s="37"/>
      <c r="B25" s="38" t="s">
        <v>38</v>
      </c>
      <c r="C25" s="36">
        <f>'D14'!C25</f>
        <v>0</v>
      </c>
      <c r="D25" s="60">
        <v>559.52962272557784</v>
      </c>
      <c r="E25" s="61">
        <v>100</v>
      </c>
      <c r="F25" s="58">
        <v>4.6988484912472659</v>
      </c>
      <c r="G25" s="62">
        <v>0</v>
      </c>
      <c r="H25" s="62">
        <v>0</v>
      </c>
      <c r="I25" s="62">
        <v>1.9300552544917617</v>
      </c>
      <c r="J25" s="62">
        <v>2.4009756859211691</v>
      </c>
      <c r="K25" s="62">
        <v>0.31929610110914042</v>
      </c>
      <c r="L25" s="62">
        <v>4.852144972519825E-2</v>
      </c>
      <c r="M25" s="58">
        <v>8.0245951363010111</v>
      </c>
      <c r="N25" s="62">
        <v>5.1722838253562831</v>
      </c>
      <c r="O25" s="62">
        <v>2.7094237161903245</v>
      </c>
      <c r="P25" s="62">
        <v>0.14288759475439863</v>
      </c>
      <c r="Q25" s="58">
        <v>87.276556372451637</v>
      </c>
      <c r="R25" s="62">
        <v>49.003564723656872</v>
      </c>
      <c r="S25" s="62">
        <v>35.212601704171114</v>
      </c>
      <c r="T25" s="62">
        <v>3.0603899446235459</v>
      </c>
    </row>
    <row r="26" spans="1:20" s="19" customFormat="1" ht="14.1" customHeight="1" x14ac:dyDescent="0.25">
      <c r="A26" s="37"/>
      <c r="B26" s="38" t="s">
        <v>39</v>
      </c>
      <c r="C26" s="36">
        <f>'D14'!C26</f>
        <v>0</v>
      </c>
      <c r="D26" s="60">
        <v>952.14709124562728</v>
      </c>
      <c r="E26" s="61">
        <v>100</v>
      </c>
      <c r="F26" s="58">
        <v>4.0341323286787985</v>
      </c>
      <c r="G26" s="62">
        <v>0</v>
      </c>
      <c r="H26" s="62">
        <v>0</v>
      </c>
      <c r="I26" s="62">
        <v>1.0729868277464396</v>
      </c>
      <c r="J26" s="62">
        <v>1.7509409853124196</v>
      </c>
      <c r="K26" s="62">
        <v>1.2102045156199397</v>
      </c>
      <c r="L26" s="62">
        <v>0</v>
      </c>
      <c r="M26" s="58">
        <v>9.9450933198096401</v>
      </c>
      <c r="N26" s="62">
        <v>5.5133372301813033</v>
      </c>
      <c r="O26" s="62">
        <v>4.1580373574139218</v>
      </c>
      <c r="P26" s="62">
        <v>0.27371873221439597</v>
      </c>
      <c r="Q26" s="58">
        <v>86.020774351512017</v>
      </c>
      <c r="R26" s="62">
        <v>52.083920406280711</v>
      </c>
      <c r="S26" s="62">
        <v>32.454677707823926</v>
      </c>
      <c r="T26" s="62">
        <v>1.4821762374073462</v>
      </c>
    </row>
    <row r="27" spans="1:20" s="19" customFormat="1" ht="14.1" customHeight="1" x14ac:dyDescent="0.25">
      <c r="A27" s="37"/>
      <c r="B27" s="38" t="s">
        <v>40</v>
      </c>
      <c r="C27" s="36">
        <f>'D14'!C27</f>
        <v>0</v>
      </c>
      <c r="D27" s="60">
        <v>282.32897679104548</v>
      </c>
      <c r="E27" s="61">
        <v>100</v>
      </c>
      <c r="F27" s="58">
        <v>5.1045019962694234</v>
      </c>
      <c r="G27" s="62">
        <v>0.21893663304563854</v>
      </c>
      <c r="H27" s="62">
        <v>0</v>
      </c>
      <c r="I27" s="62">
        <v>2.9394712662632414E-2</v>
      </c>
      <c r="J27" s="62">
        <v>3.1829887205201333</v>
      </c>
      <c r="K27" s="62">
        <v>1.2070607156244728</v>
      </c>
      <c r="L27" s="62">
        <v>0.46612121441654469</v>
      </c>
      <c r="M27" s="58">
        <v>11.464639341748386</v>
      </c>
      <c r="N27" s="62">
        <v>10.339752200373816</v>
      </c>
      <c r="O27" s="62">
        <v>1.1248871413745714</v>
      </c>
      <c r="P27" s="62">
        <v>0</v>
      </c>
      <c r="Q27" s="58">
        <v>83.430858661982469</v>
      </c>
      <c r="R27" s="62">
        <v>63.44516766259698</v>
      </c>
      <c r="S27" s="62">
        <v>19.051329257942683</v>
      </c>
      <c r="T27" s="62">
        <v>0.93436174144289497</v>
      </c>
    </row>
    <row r="28" spans="1:20" s="19" customFormat="1" ht="14.1" customHeight="1" x14ac:dyDescent="0.25">
      <c r="A28" s="37"/>
      <c r="B28" s="38" t="s">
        <v>41</v>
      </c>
      <c r="C28" s="36">
        <f>'D14'!C28</f>
        <v>0</v>
      </c>
      <c r="D28" s="60">
        <v>1001.8832131087203</v>
      </c>
      <c r="E28" s="61">
        <v>100</v>
      </c>
      <c r="F28" s="58">
        <v>28.758438007615503</v>
      </c>
      <c r="G28" s="62">
        <v>0.32072946142037978</v>
      </c>
      <c r="H28" s="62">
        <v>1.2226774325606695</v>
      </c>
      <c r="I28" s="62">
        <v>4.6149092556550793</v>
      </c>
      <c r="J28" s="62">
        <v>17.34982695983852</v>
      </c>
      <c r="K28" s="62">
        <v>5.2502948981409077</v>
      </c>
      <c r="L28" s="62">
        <v>0</v>
      </c>
      <c r="M28" s="58">
        <v>8.315253311737921</v>
      </c>
      <c r="N28" s="62">
        <v>8.1454427352794259</v>
      </c>
      <c r="O28" s="62">
        <v>0.1511038802317915</v>
      </c>
      <c r="P28" s="62">
        <v>1.8706696226702318E-2</v>
      </c>
      <c r="Q28" s="58">
        <v>62.926308680646528</v>
      </c>
      <c r="R28" s="62">
        <v>36.137853615680868</v>
      </c>
      <c r="S28" s="62">
        <v>25.830390449732917</v>
      </c>
      <c r="T28" s="62">
        <v>0.95806461523242548</v>
      </c>
    </row>
    <row r="29" spans="1:20" s="19" customFormat="1" ht="14.1" customHeight="1" x14ac:dyDescent="0.25">
      <c r="A29" s="37"/>
      <c r="B29" s="38" t="s">
        <v>42</v>
      </c>
      <c r="C29" s="36">
        <f>'D14'!C29</f>
        <v>0</v>
      </c>
      <c r="D29" s="60">
        <v>1428.2373804243118</v>
      </c>
      <c r="E29" s="61">
        <v>100</v>
      </c>
      <c r="F29" s="58">
        <v>5.9634062112663369</v>
      </c>
      <c r="G29" s="62">
        <v>1.6693763543487925E-2</v>
      </c>
      <c r="H29" s="62">
        <v>0.73151550817695299</v>
      </c>
      <c r="I29" s="62">
        <v>1.271822464503253</v>
      </c>
      <c r="J29" s="62">
        <v>2.7503373133431621</v>
      </c>
      <c r="K29" s="62">
        <v>1.1930371616994808</v>
      </c>
      <c r="L29" s="62">
        <v>0</v>
      </c>
      <c r="M29" s="58">
        <v>11.33994922759908</v>
      </c>
      <c r="N29" s="62">
        <v>10.116067711754141</v>
      </c>
      <c r="O29" s="62">
        <v>1.2048206002619986</v>
      </c>
      <c r="P29" s="62">
        <v>1.9060915582932207E-2</v>
      </c>
      <c r="Q29" s="58">
        <v>82.696644561135074</v>
      </c>
      <c r="R29" s="62">
        <v>51.295576129611064</v>
      </c>
      <c r="S29" s="62">
        <v>30.987580790866939</v>
      </c>
      <c r="T29" s="62">
        <v>0.41348764065728272</v>
      </c>
    </row>
    <row r="30" spans="1:20" s="19" customFormat="1" ht="14.1" customHeight="1" x14ac:dyDescent="0.25">
      <c r="A30" s="37"/>
      <c r="B30" s="38" t="s">
        <v>43</v>
      </c>
      <c r="C30" s="36">
        <f>'D14'!C30</f>
        <v>0</v>
      </c>
      <c r="D30" s="60">
        <v>926.79223324754162</v>
      </c>
      <c r="E30" s="61">
        <v>100</v>
      </c>
      <c r="F30" s="58">
        <v>3.3869264918995734</v>
      </c>
      <c r="G30" s="62">
        <v>0</v>
      </c>
      <c r="H30" s="62">
        <v>0.41338689544238827</v>
      </c>
      <c r="I30" s="62">
        <v>1.2793643739509049</v>
      </c>
      <c r="J30" s="62">
        <v>1.1214482210098182</v>
      </c>
      <c r="K30" s="62">
        <v>0.57272700149646139</v>
      </c>
      <c r="L30" s="62">
        <v>0</v>
      </c>
      <c r="M30" s="58">
        <v>10.227908590231145</v>
      </c>
      <c r="N30" s="62">
        <v>6.5769633509943795</v>
      </c>
      <c r="O30" s="62">
        <v>3.401229746783121</v>
      </c>
      <c r="P30" s="62">
        <v>0.24971549245368727</v>
      </c>
      <c r="Q30" s="58">
        <v>86.385164917869062</v>
      </c>
      <c r="R30" s="62">
        <v>52.247881703180944</v>
      </c>
      <c r="S30" s="62">
        <v>33.154163347158018</v>
      </c>
      <c r="T30" s="62">
        <v>0.98311986752973712</v>
      </c>
    </row>
    <row r="31" spans="1:20" s="19" customFormat="1" ht="14.1" customHeight="1" x14ac:dyDescent="0.25">
      <c r="A31" s="37"/>
      <c r="B31" s="38" t="s">
        <v>44</v>
      </c>
      <c r="C31" s="36">
        <f>'D14'!C31</f>
        <v>0</v>
      </c>
      <c r="D31" s="60">
        <v>452.28330853028291</v>
      </c>
      <c r="E31" s="61">
        <v>100</v>
      </c>
      <c r="F31" s="58">
        <v>5.5207917172216661</v>
      </c>
      <c r="G31" s="62">
        <v>4.3225309608946695E-2</v>
      </c>
      <c r="H31" s="62">
        <v>0</v>
      </c>
      <c r="I31" s="62">
        <v>0</v>
      </c>
      <c r="J31" s="62">
        <v>4.2010854640828157</v>
      </c>
      <c r="K31" s="62">
        <v>0.9148581354868639</v>
      </c>
      <c r="L31" s="62">
        <v>0.36162280804304725</v>
      </c>
      <c r="M31" s="58">
        <v>12.911202262609102</v>
      </c>
      <c r="N31" s="62">
        <v>9.9583511668504947</v>
      </c>
      <c r="O31" s="62">
        <v>2.9528510957586089</v>
      </c>
      <c r="P31" s="62">
        <v>0</v>
      </c>
      <c r="Q31" s="58">
        <v>81.568006020169364</v>
      </c>
      <c r="R31" s="62">
        <v>38.355128846100882</v>
      </c>
      <c r="S31" s="62">
        <v>41.241051291306519</v>
      </c>
      <c r="T31" s="62">
        <v>1.9718258827614874</v>
      </c>
    </row>
    <row r="32" spans="1:20" s="19" customFormat="1" ht="14.1" customHeight="1" x14ac:dyDescent="0.25">
      <c r="A32" s="37"/>
      <c r="B32" s="38" t="s">
        <v>45</v>
      </c>
      <c r="C32" s="36">
        <f>'D14'!C32</f>
        <v>0</v>
      </c>
      <c r="D32" s="60">
        <v>27.230935813011428</v>
      </c>
      <c r="E32" s="61">
        <v>100</v>
      </c>
      <c r="F32" s="58">
        <v>7.4371199106855119</v>
      </c>
      <c r="G32" s="62">
        <v>1.493300801929464</v>
      </c>
      <c r="H32" s="62">
        <v>1.493300801929464</v>
      </c>
      <c r="I32" s="62">
        <v>0</v>
      </c>
      <c r="J32" s="62">
        <v>1.9757289270526921</v>
      </c>
      <c r="K32" s="62">
        <v>0.36057713224536936</v>
      </c>
      <c r="L32" s="62">
        <v>2.1142122475285214</v>
      </c>
      <c r="M32" s="58">
        <v>14.602505920028676</v>
      </c>
      <c r="N32" s="62">
        <v>14.602505920028676</v>
      </c>
      <c r="O32" s="62">
        <v>0</v>
      </c>
      <c r="P32" s="62">
        <v>0</v>
      </c>
      <c r="Q32" s="58">
        <v>77.960374169285956</v>
      </c>
      <c r="R32" s="62">
        <v>44.866238853054256</v>
      </c>
      <c r="S32" s="62">
        <v>32.777182190320936</v>
      </c>
      <c r="T32" s="62">
        <v>0.31695312591083574</v>
      </c>
    </row>
    <row r="33" spans="1:20" s="19" customFormat="1" ht="14.1" customHeight="1" x14ac:dyDescent="0.25">
      <c r="A33" s="37" t="s">
        <v>232</v>
      </c>
      <c r="B33" s="38"/>
      <c r="C33" s="36" t="s">
        <v>92</v>
      </c>
      <c r="D33" s="60"/>
      <c r="E33" s="61"/>
      <c r="F33" s="58"/>
      <c r="G33" s="62"/>
      <c r="H33" s="62"/>
      <c r="I33" s="62"/>
      <c r="J33" s="62"/>
      <c r="K33" s="62"/>
      <c r="L33" s="62"/>
      <c r="M33" s="58"/>
      <c r="N33" s="62"/>
      <c r="O33" s="62"/>
      <c r="P33" s="62"/>
      <c r="Q33" s="58"/>
      <c r="R33" s="62"/>
      <c r="S33" s="62"/>
      <c r="T33" s="62"/>
    </row>
    <row r="34" spans="1:20" s="19" customFormat="1" ht="14.1" customHeight="1" x14ac:dyDescent="0.25">
      <c r="A34" s="37"/>
      <c r="B34" s="38" t="s">
        <v>233</v>
      </c>
      <c r="C34" s="36"/>
      <c r="D34" s="60">
        <v>45014.894633748256</v>
      </c>
      <c r="E34" s="61">
        <v>100</v>
      </c>
      <c r="F34" s="58">
        <v>16.298100548741115</v>
      </c>
      <c r="G34" s="62">
        <v>6.104989846158559</v>
      </c>
      <c r="H34" s="62">
        <v>0.74328932538456971</v>
      </c>
      <c r="I34" s="62">
        <v>1.5189450709233803</v>
      </c>
      <c r="J34" s="62">
        <v>5.6513330472666983</v>
      </c>
      <c r="K34" s="62">
        <v>2.1727752466554149</v>
      </c>
      <c r="L34" s="62">
        <v>0.10676801235245303</v>
      </c>
      <c r="M34" s="58">
        <v>11.417469198203166</v>
      </c>
      <c r="N34" s="62">
        <v>8.7351067466904642</v>
      </c>
      <c r="O34" s="62">
        <v>2.4851321386815153</v>
      </c>
      <c r="P34" s="62">
        <v>0.19723031283117529</v>
      </c>
      <c r="Q34" s="58">
        <v>72.284430253055589</v>
      </c>
      <c r="R34" s="62">
        <v>45.024273217191194</v>
      </c>
      <c r="S34" s="62">
        <v>25.83861072041331</v>
      </c>
      <c r="T34" s="62">
        <v>1.4215463154518808</v>
      </c>
    </row>
    <row r="35" spans="1:20" s="19" customFormat="1" ht="14.1" customHeight="1" x14ac:dyDescent="0.25">
      <c r="A35" s="37"/>
      <c r="B35" s="38" t="s">
        <v>234</v>
      </c>
      <c r="C35" s="36"/>
      <c r="D35" s="60">
        <v>19948.736129797875</v>
      </c>
      <c r="E35" s="61">
        <v>100</v>
      </c>
      <c r="F35" s="58">
        <v>5.5478572368625274</v>
      </c>
      <c r="G35" s="62">
        <v>0.10760303568168803</v>
      </c>
      <c r="H35" s="62">
        <v>0.28233642193426461</v>
      </c>
      <c r="I35" s="62">
        <v>1.2826519613322382</v>
      </c>
      <c r="J35" s="62">
        <v>3.1734538176431193</v>
      </c>
      <c r="K35" s="62">
        <v>0.65940295752863642</v>
      </c>
      <c r="L35" s="62">
        <v>4.2409042742581775E-2</v>
      </c>
      <c r="M35" s="58">
        <v>8.9855281905282887</v>
      </c>
      <c r="N35" s="62">
        <v>5.9955084431510155</v>
      </c>
      <c r="O35" s="62">
        <v>2.8704336620530735</v>
      </c>
      <c r="P35" s="62">
        <v>0.11958608532424778</v>
      </c>
      <c r="Q35" s="58">
        <v>85.466614572607028</v>
      </c>
      <c r="R35" s="62">
        <v>48.891399372297116</v>
      </c>
      <c r="S35" s="62">
        <v>33.73496984108003</v>
      </c>
      <c r="T35" s="62">
        <v>2.8402453592301065</v>
      </c>
    </row>
    <row r="36" spans="1:20" s="19" customFormat="1" ht="14.1" customHeight="1" x14ac:dyDescent="0.25">
      <c r="A36" s="37" t="s">
        <v>46</v>
      </c>
      <c r="B36" s="38"/>
      <c r="C36" s="36" t="str">
        <f>'D14'!C36</f>
        <v>***</v>
      </c>
      <c r="D36" s="60"/>
      <c r="E36" s="61"/>
      <c r="F36" s="58"/>
      <c r="G36" s="62"/>
      <c r="H36" s="62"/>
      <c r="I36" s="62"/>
      <c r="J36" s="62"/>
      <c r="K36" s="62"/>
      <c r="L36" s="62"/>
      <c r="M36" s="58"/>
      <c r="N36" s="62"/>
      <c r="O36" s="62"/>
      <c r="P36" s="62"/>
      <c r="Q36" s="58"/>
      <c r="R36" s="62"/>
      <c r="S36" s="62"/>
      <c r="T36" s="62"/>
    </row>
    <row r="37" spans="1:20" s="19" customFormat="1" ht="14.1" customHeight="1" x14ac:dyDescent="0.25">
      <c r="A37" s="37"/>
      <c r="B37" s="38" t="s">
        <v>210</v>
      </c>
      <c r="C37" s="36">
        <f>'D14'!C37</f>
        <v>0</v>
      </c>
      <c r="D37" s="60">
        <v>32403.020214197149</v>
      </c>
      <c r="E37" s="61">
        <v>100</v>
      </c>
      <c r="F37" s="58">
        <v>9.0717974908804813</v>
      </c>
      <c r="G37" s="62">
        <v>2.9185091995759866</v>
      </c>
      <c r="H37" s="62">
        <v>0.68038414380635981</v>
      </c>
      <c r="I37" s="62">
        <v>1.090652668270047</v>
      </c>
      <c r="J37" s="62">
        <v>3.1438876710369499</v>
      </c>
      <c r="K37" s="62">
        <v>1.1173120426616903</v>
      </c>
      <c r="L37" s="62">
        <v>0.12105176552943622</v>
      </c>
      <c r="M37" s="58">
        <v>9.4014272367994227</v>
      </c>
      <c r="N37" s="62">
        <v>6.3271727745198802</v>
      </c>
      <c r="O37" s="62">
        <v>2.8395957216267096</v>
      </c>
      <c r="P37" s="62">
        <v>0.23465874065274492</v>
      </c>
      <c r="Q37" s="58">
        <v>81.526775272320464</v>
      </c>
      <c r="R37" s="62">
        <v>45.161366524150935</v>
      </c>
      <c r="S37" s="62">
        <v>33.013864817278652</v>
      </c>
      <c r="T37" s="62">
        <v>3.3515439308905188</v>
      </c>
    </row>
    <row r="38" spans="1:20" s="19" customFormat="1" ht="14.1" customHeight="1" x14ac:dyDescent="0.25">
      <c r="A38" s="37"/>
      <c r="B38" s="38" t="s">
        <v>48</v>
      </c>
      <c r="C38" s="36">
        <f>'D14'!C38</f>
        <v>0</v>
      </c>
      <c r="D38" s="60">
        <v>32560.610549349527</v>
      </c>
      <c r="E38" s="61">
        <v>100</v>
      </c>
      <c r="F38" s="58">
        <v>16.903134562710775</v>
      </c>
      <c r="G38" s="62">
        <v>5.6016611348515628</v>
      </c>
      <c r="H38" s="62">
        <v>0.52348048739945874</v>
      </c>
      <c r="I38" s="62">
        <v>1.80039613506573</v>
      </c>
      <c r="J38" s="62">
        <v>6.6285335285191085</v>
      </c>
      <c r="K38" s="62">
        <v>2.2959403533518135</v>
      </c>
      <c r="L38" s="62">
        <v>5.3122923522988669E-2</v>
      </c>
      <c r="M38" s="58">
        <v>11.933789337753632</v>
      </c>
      <c r="N38" s="62">
        <v>9.4529314164801921</v>
      </c>
      <c r="O38" s="62">
        <v>2.368444762151388</v>
      </c>
      <c r="P38" s="62">
        <v>0.11241315912209297</v>
      </c>
      <c r="Q38" s="58">
        <v>71.163076099537037</v>
      </c>
      <c r="R38" s="62">
        <v>47.257095047789662</v>
      </c>
      <c r="S38" s="62">
        <v>23.535904542812737</v>
      </c>
      <c r="T38" s="62">
        <v>0.37007650893233784</v>
      </c>
    </row>
    <row r="39" spans="1:20" s="19" customFormat="1" ht="14.1" customHeight="1" x14ac:dyDescent="0.25">
      <c r="A39" s="37" t="s">
        <v>49</v>
      </c>
      <c r="B39" s="38"/>
      <c r="C39" s="36" t="str">
        <f>'D14'!C39</f>
        <v>***</v>
      </c>
      <c r="D39" s="60"/>
      <c r="E39" s="61"/>
      <c r="F39" s="58"/>
      <c r="G39" s="62"/>
      <c r="H39" s="62"/>
      <c r="I39" s="62"/>
      <c r="J39" s="62"/>
      <c r="K39" s="62"/>
      <c r="L39" s="62"/>
      <c r="M39" s="58"/>
      <c r="N39" s="62"/>
      <c r="O39" s="62"/>
      <c r="P39" s="62"/>
      <c r="Q39" s="58"/>
      <c r="R39" s="62"/>
      <c r="S39" s="62"/>
      <c r="T39" s="62"/>
    </row>
    <row r="40" spans="1:20" s="19" customFormat="1" ht="14.1" customHeight="1" x14ac:dyDescent="0.25">
      <c r="A40" s="37"/>
      <c r="B40" s="38" t="s">
        <v>107</v>
      </c>
      <c r="C40" s="36">
        <f>'D14'!C40</f>
        <v>0</v>
      </c>
      <c r="D40" s="60">
        <v>1745.8816058564491</v>
      </c>
      <c r="E40" s="61">
        <v>100</v>
      </c>
      <c r="F40" s="58">
        <v>49.114478242861658</v>
      </c>
      <c r="G40" s="62">
        <v>9.5920479895158497</v>
      </c>
      <c r="H40" s="62">
        <v>6.6252611181264368E-2</v>
      </c>
      <c r="I40" s="62">
        <v>5.3687649105976645</v>
      </c>
      <c r="J40" s="62">
        <v>32.443057924570091</v>
      </c>
      <c r="K40" s="62">
        <v>1.6350257782311575</v>
      </c>
      <c r="L40" s="62">
        <v>9.3290287657138288E-3</v>
      </c>
      <c r="M40" s="58">
        <v>21.864630302034051</v>
      </c>
      <c r="N40" s="62">
        <v>10.647866513523768</v>
      </c>
      <c r="O40" s="62">
        <v>10.156714988481733</v>
      </c>
      <c r="P40" s="62">
        <v>1.0600488000285848</v>
      </c>
      <c r="Q40" s="58">
        <v>29.020891455103669</v>
      </c>
      <c r="R40" s="62">
        <v>15.703987827896347</v>
      </c>
      <c r="S40" s="62">
        <v>13.180260238451226</v>
      </c>
      <c r="T40" s="62">
        <v>0.1366433887561595</v>
      </c>
    </row>
    <row r="41" spans="1:20" s="19" customFormat="1" ht="14.1" customHeight="1" x14ac:dyDescent="0.25">
      <c r="A41" s="37"/>
      <c r="B41" s="38" t="s">
        <v>108</v>
      </c>
      <c r="C41" s="36">
        <f>'D14'!C41</f>
        <v>0</v>
      </c>
      <c r="D41" s="60">
        <v>1064.9479498777655</v>
      </c>
      <c r="E41" s="61">
        <v>100</v>
      </c>
      <c r="F41" s="58">
        <v>26.064601066254443</v>
      </c>
      <c r="G41" s="62">
        <v>6.414164263837713</v>
      </c>
      <c r="H41" s="62">
        <v>0.65218402619221527</v>
      </c>
      <c r="I41" s="62">
        <v>4.3908145932957829</v>
      </c>
      <c r="J41" s="62">
        <v>13.696473392653273</v>
      </c>
      <c r="K41" s="62">
        <v>0.91096479027542809</v>
      </c>
      <c r="L41" s="62">
        <v>0</v>
      </c>
      <c r="M41" s="58">
        <v>10.018959689575617</v>
      </c>
      <c r="N41" s="62">
        <v>5.8979435065770636</v>
      </c>
      <c r="O41" s="62">
        <v>4.0907228701560951</v>
      </c>
      <c r="P41" s="62">
        <v>3.0293312842460292E-2</v>
      </c>
      <c r="Q41" s="58">
        <v>63.916439244169887</v>
      </c>
      <c r="R41" s="62">
        <v>50.981179312753724</v>
      </c>
      <c r="S41" s="62">
        <v>11.8211687617676</v>
      </c>
      <c r="T41" s="62">
        <v>1.1140911696488498</v>
      </c>
    </row>
    <row r="42" spans="1:20" s="19" customFormat="1" ht="14.1" customHeight="1" x14ac:dyDescent="0.25">
      <c r="A42" s="37"/>
      <c r="B42" s="38" t="s">
        <v>109</v>
      </c>
      <c r="C42" s="36">
        <f>'D14'!C42</f>
        <v>0</v>
      </c>
      <c r="D42" s="60">
        <v>8620.4232387040993</v>
      </c>
      <c r="E42" s="61">
        <v>100</v>
      </c>
      <c r="F42" s="58">
        <v>14.302713370130895</v>
      </c>
      <c r="G42" s="62">
        <v>5.2118066638796385</v>
      </c>
      <c r="H42" s="62">
        <v>0.8727813546074733</v>
      </c>
      <c r="I42" s="62">
        <v>2.7122268352591301</v>
      </c>
      <c r="J42" s="62">
        <v>4.5933137822613954</v>
      </c>
      <c r="K42" s="62">
        <v>0.85945894481407392</v>
      </c>
      <c r="L42" s="62">
        <v>5.3125789309170363E-2</v>
      </c>
      <c r="M42" s="58">
        <v>6.4079436311920883</v>
      </c>
      <c r="N42" s="62">
        <v>4.9070336546574795</v>
      </c>
      <c r="O42" s="62">
        <v>1.398572647139352</v>
      </c>
      <c r="P42" s="62">
        <v>0.10233732939525163</v>
      </c>
      <c r="Q42" s="58">
        <v>79.28934299867916</v>
      </c>
      <c r="R42" s="62">
        <v>57.503497107942664</v>
      </c>
      <c r="S42" s="62">
        <v>20.141787610448699</v>
      </c>
      <c r="T42" s="62">
        <v>1.6440582802878503</v>
      </c>
    </row>
    <row r="43" spans="1:20" s="19" customFormat="1" ht="14.1" customHeight="1" x14ac:dyDescent="0.25">
      <c r="A43" s="37"/>
      <c r="B43" s="38" t="s">
        <v>110</v>
      </c>
      <c r="C43" s="36">
        <f>'D14'!C43</f>
        <v>0</v>
      </c>
      <c r="D43" s="60">
        <v>11493.444729573315</v>
      </c>
      <c r="E43" s="61">
        <v>100</v>
      </c>
      <c r="F43" s="58">
        <v>10.857886778556875</v>
      </c>
      <c r="G43" s="62">
        <v>4.3713224373161372</v>
      </c>
      <c r="H43" s="62">
        <v>0.74736298569722059</v>
      </c>
      <c r="I43" s="62">
        <v>1.4851835088787084</v>
      </c>
      <c r="J43" s="62">
        <v>2.045362495563404</v>
      </c>
      <c r="K43" s="62">
        <v>2.1925481928525605</v>
      </c>
      <c r="L43" s="62">
        <v>1.610715824883353E-2</v>
      </c>
      <c r="M43" s="58">
        <v>5.229811162359602</v>
      </c>
      <c r="N43" s="62">
        <v>4.096834213366976</v>
      </c>
      <c r="O43" s="62">
        <v>0.96403432839408987</v>
      </c>
      <c r="P43" s="62">
        <v>0.1689426205985351</v>
      </c>
      <c r="Q43" s="58">
        <v>83.912302059083814</v>
      </c>
      <c r="R43" s="62">
        <v>46.57993562275248</v>
      </c>
      <c r="S43" s="62">
        <v>35.451509664836706</v>
      </c>
      <c r="T43" s="62">
        <v>1.8808567714944751</v>
      </c>
    </row>
    <row r="44" spans="1:20" s="19" customFormat="1" ht="14.1" customHeight="1" x14ac:dyDescent="0.25">
      <c r="A44" s="37"/>
      <c r="B44" s="38" t="s">
        <v>111</v>
      </c>
      <c r="C44" s="36">
        <f>'D14'!C44</f>
        <v>0</v>
      </c>
      <c r="D44" s="60">
        <v>14473.875758845563</v>
      </c>
      <c r="E44" s="61">
        <v>100</v>
      </c>
      <c r="F44" s="58">
        <v>9.4379885712911928</v>
      </c>
      <c r="G44" s="62">
        <v>4.0738405139095288</v>
      </c>
      <c r="H44" s="62">
        <v>0.77250815198116529</v>
      </c>
      <c r="I44" s="62">
        <v>0.46871076714026155</v>
      </c>
      <c r="J44" s="62">
        <v>3.0826784402558012</v>
      </c>
      <c r="K44" s="62">
        <v>1.006059050910852</v>
      </c>
      <c r="L44" s="62">
        <v>3.4191647093561608E-2</v>
      </c>
      <c r="M44" s="58">
        <v>5.6528841523250133</v>
      </c>
      <c r="N44" s="62">
        <v>3.911485009630038</v>
      </c>
      <c r="O44" s="62">
        <v>1.5190943963634158</v>
      </c>
      <c r="P44" s="62">
        <v>0.22230474633156905</v>
      </c>
      <c r="Q44" s="58">
        <v>84.909127276383842</v>
      </c>
      <c r="R44" s="62">
        <v>48.753901171348623</v>
      </c>
      <c r="S44" s="62">
        <v>35.004741901028559</v>
      </c>
      <c r="T44" s="62">
        <v>1.1504842040063379</v>
      </c>
    </row>
    <row r="45" spans="1:20" s="19" customFormat="1" ht="14.1" customHeight="1" x14ac:dyDescent="0.25">
      <c r="A45" s="37"/>
      <c r="B45" s="38" t="s">
        <v>112</v>
      </c>
      <c r="C45" s="36">
        <f>'D14'!C45</f>
        <v>0</v>
      </c>
      <c r="D45" s="60">
        <v>12109.974832463986</v>
      </c>
      <c r="E45" s="61">
        <v>100</v>
      </c>
      <c r="F45" s="58">
        <v>9.9451426188979326</v>
      </c>
      <c r="G45" s="62">
        <v>3.4485596635929756</v>
      </c>
      <c r="H45" s="62">
        <v>0.27423978261733051</v>
      </c>
      <c r="I45" s="62">
        <v>1.2084785180936504</v>
      </c>
      <c r="J45" s="62">
        <v>3.4096145731319667</v>
      </c>
      <c r="K45" s="62">
        <v>1.4204863787861539</v>
      </c>
      <c r="L45" s="62">
        <v>0.18376370267587649</v>
      </c>
      <c r="M45" s="58">
        <v>7.8314127738044581</v>
      </c>
      <c r="N45" s="62">
        <v>6.0650915910390077</v>
      </c>
      <c r="O45" s="62">
        <v>1.6223319562376761</v>
      </c>
      <c r="P45" s="62">
        <v>0.14398922652776944</v>
      </c>
      <c r="Q45" s="58">
        <v>82.223444607295519</v>
      </c>
      <c r="R45" s="62">
        <v>46.45006033287337</v>
      </c>
      <c r="S45" s="62">
        <v>32.806212255965562</v>
      </c>
      <c r="T45" s="62">
        <v>2.9671720184594959</v>
      </c>
    </row>
    <row r="46" spans="1:20" s="19" customFormat="1" ht="14.1" customHeight="1" x14ac:dyDescent="0.25">
      <c r="A46" s="37"/>
      <c r="B46" s="38" t="s">
        <v>113</v>
      </c>
      <c r="C46" s="36">
        <f>'D14'!C46</f>
        <v>0</v>
      </c>
      <c r="D46" s="60">
        <v>5288.6685383987679</v>
      </c>
      <c r="E46" s="61">
        <v>100</v>
      </c>
      <c r="F46" s="58">
        <v>9.4147660192507132</v>
      </c>
      <c r="G46" s="62">
        <v>2.478869608503647</v>
      </c>
      <c r="H46" s="62">
        <v>0.98030629638706757</v>
      </c>
      <c r="I46" s="62">
        <v>1.130871455429332</v>
      </c>
      <c r="J46" s="62">
        <v>3.8974371075338334</v>
      </c>
      <c r="K46" s="62">
        <v>0.90117436440314513</v>
      </c>
      <c r="L46" s="62">
        <v>2.6107186993692216E-2</v>
      </c>
      <c r="M46" s="58">
        <v>13.766812242114675</v>
      </c>
      <c r="N46" s="62">
        <v>10.050516080079683</v>
      </c>
      <c r="O46" s="62">
        <v>3.6784595837794267</v>
      </c>
      <c r="P46" s="62">
        <v>3.7836578255535984E-2</v>
      </c>
      <c r="Q46" s="58">
        <v>76.818421738638605</v>
      </c>
      <c r="R46" s="62">
        <v>47.039502627722058</v>
      </c>
      <c r="S46" s="62">
        <v>26.178526451742709</v>
      </c>
      <c r="T46" s="62">
        <v>3.600392659173806</v>
      </c>
    </row>
    <row r="47" spans="1:20" s="19" customFormat="1" ht="14.1" customHeight="1" x14ac:dyDescent="0.25">
      <c r="A47" s="37"/>
      <c r="B47" s="38" t="s">
        <v>114</v>
      </c>
      <c r="C47" s="36"/>
      <c r="D47" s="60">
        <v>10166.414109825755</v>
      </c>
      <c r="E47" s="61">
        <v>100</v>
      </c>
      <c r="F47" s="58">
        <v>17.302390752697111</v>
      </c>
      <c r="G47" s="62">
        <v>4.3652563733926186</v>
      </c>
      <c r="H47" s="62">
        <v>0.24402659321237732</v>
      </c>
      <c r="I47" s="62">
        <v>1.1865828858084673</v>
      </c>
      <c r="J47" s="62">
        <v>7.5589396849261865</v>
      </c>
      <c r="K47" s="62">
        <v>3.7376345897127958</v>
      </c>
      <c r="L47" s="62">
        <v>0.20995062564467787</v>
      </c>
      <c r="M47" s="58">
        <v>27.497422526067428</v>
      </c>
      <c r="N47" s="62">
        <v>21.181319089784449</v>
      </c>
      <c r="O47" s="62">
        <v>6.1788311965733724</v>
      </c>
      <c r="P47" s="62">
        <v>0.13727223970966609</v>
      </c>
      <c r="Q47" s="58">
        <v>55.200186721236918</v>
      </c>
      <c r="R47" s="62">
        <v>36.626801165393545</v>
      </c>
      <c r="S47" s="62">
        <v>17.41177423693717</v>
      </c>
      <c r="T47" s="62">
        <v>1.1616113189053847</v>
      </c>
    </row>
    <row r="48" spans="1:20" s="19" customFormat="1" ht="14.1" customHeight="1" x14ac:dyDescent="0.25">
      <c r="A48" s="37" t="s">
        <v>50</v>
      </c>
      <c r="B48" s="38"/>
      <c r="C48" s="36" t="str">
        <f>'D14'!C49</f>
        <v>***</v>
      </c>
      <c r="D48" s="60"/>
      <c r="E48" s="61"/>
      <c r="F48" s="58"/>
      <c r="G48" s="62"/>
      <c r="H48" s="62"/>
      <c r="I48" s="62"/>
      <c r="J48" s="62"/>
      <c r="K48" s="62"/>
      <c r="L48" s="62"/>
      <c r="M48" s="58"/>
      <c r="N48" s="62"/>
      <c r="O48" s="62"/>
      <c r="P48" s="62"/>
      <c r="Q48" s="58"/>
      <c r="R48" s="62"/>
      <c r="S48" s="62"/>
      <c r="T48" s="62"/>
    </row>
    <row r="49" spans="1:20" s="19" customFormat="1" ht="14.1" customHeight="1" x14ac:dyDescent="0.25">
      <c r="A49" s="37"/>
      <c r="B49" s="38" t="s">
        <v>3</v>
      </c>
      <c r="C49" s="36">
        <f>'D14'!C50</f>
        <v>0</v>
      </c>
      <c r="D49" s="60">
        <v>3662.4814202836792</v>
      </c>
      <c r="E49" s="61">
        <v>100</v>
      </c>
      <c r="F49" s="58">
        <v>11.635317609322065</v>
      </c>
      <c r="G49" s="62">
        <v>1.545648547867617</v>
      </c>
      <c r="H49" s="62">
        <v>0.48682992139958298</v>
      </c>
      <c r="I49" s="62">
        <v>0.39358564576822247</v>
      </c>
      <c r="J49" s="62">
        <v>6.2776603692004942</v>
      </c>
      <c r="K49" s="62">
        <v>2.8800795680712898</v>
      </c>
      <c r="L49" s="62">
        <v>5.1513557014857964E-2</v>
      </c>
      <c r="M49" s="58">
        <v>36.076708578217847</v>
      </c>
      <c r="N49" s="62">
        <v>26.632344602944265</v>
      </c>
      <c r="O49" s="62">
        <v>9.2365193438336739</v>
      </c>
      <c r="P49" s="62">
        <v>0.20784463144009405</v>
      </c>
      <c r="Q49" s="58">
        <v>52.287973812459335</v>
      </c>
      <c r="R49" s="62">
        <v>41.14294467029427</v>
      </c>
      <c r="S49" s="62">
        <v>9.4110473687071146</v>
      </c>
      <c r="T49" s="62">
        <v>1.7339817734581251</v>
      </c>
    </row>
    <row r="50" spans="1:20" s="19" customFormat="1" ht="14.1" customHeight="1" x14ac:dyDescent="0.25">
      <c r="A50" s="37"/>
      <c r="B50" s="38" t="s">
        <v>115</v>
      </c>
      <c r="C50" s="36">
        <f>'D14'!C51</f>
        <v>0</v>
      </c>
      <c r="D50" s="60">
        <v>4683.2127586322795</v>
      </c>
      <c r="E50" s="61">
        <v>100</v>
      </c>
      <c r="F50" s="58">
        <v>8.4801768068600616</v>
      </c>
      <c r="G50" s="62">
        <v>0.61824804933142408</v>
      </c>
      <c r="H50" s="62">
        <v>0.3134467111895971</v>
      </c>
      <c r="I50" s="62">
        <v>0.87491773285352925</v>
      </c>
      <c r="J50" s="62">
        <v>5.0614723906453474</v>
      </c>
      <c r="K50" s="62">
        <v>1.4915631914229048</v>
      </c>
      <c r="L50" s="62">
        <v>0.12052873141725533</v>
      </c>
      <c r="M50" s="58">
        <v>15.277834788392296</v>
      </c>
      <c r="N50" s="62">
        <v>10.102737172931413</v>
      </c>
      <c r="O50" s="62">
        <v>5.0770812671132521</v>
      </c>
      <c r="P50" s="62">
        <v>9.8016348347600299E-2</v>
      </c>
      <c r="Q50" s="58">
        <v>76.241988404746834</v>
      </c>
      <c r="R50" s="62">
        <v>53.258435683304569</v>
      </c>
      <c r="S50" s="62">
        <v>18.228111182171151</v>
      </c>
      <c r="T50" s="62">
        <v>4.7554415392710183</v>
      </c>
    </row>
    <row r="51" spans="1:20" s="19" customFormat="1" ht="14.1" customHeight="1" x14ac:dyDescent="0.25">
      <c r="A51" s="37"/>
      <c r="B51" s="38" t="s">
        <v>116</v>
      </c>
      <c r="C51" s="36">
        <f>'D14'!C52</f>
        <v>0</v>
      </c>
      <c r="D51" s="60">
        <v>17170.894745470789</v>
      </c>
      <c r="E51" s="61">
        <v>100</v>
      </c>
      <c r="F51" s="58">
        <v>11.459430186221496</v>
      </c>
      <c r="G51" s="62">
        <v>2.8890409190402275</v>
      </c>
      <c r="H51" s="62">
        <v>8.6981490983712273E-2</v>
      </c>
      <c r="I51" s="62">
        <v>1.5156140488346772</v>
      </c>
      <c r="J51" s="62">
        <v>6.0166554656558038</v>
      </c>
      <c r="K51" s="62">
        <v>0.80207444637471215</v>
      </c>
      <c r="L51" s="62">
        <v>0.14906381533236363</v>
      </c>
      <c r="M51" s="58">
        <v>9.5629471821451677</v>
      </c>
      <c r="N51" s="62">
        <v>6.5222334501473558</v>
      </c>
      <c r="O51" s="62">
        <v>2.7541489804429204</v>
      </c>
      <c r="P51" s="62">
        <v>0.2865647515548389</v>
      </c>
      <c r="Q51" s="58">
        <v>78.977622631633608</v>
      </c>
      <c r="R51" s="62">
        <v>50.846534704169443</v>
      </c>
      <c r="S51" s="62">
        <v>25.216267056258438</v>
      </c>
      <c r="T51" s="62">
        <v>2.9148208712056456</v>
      </c>
    </row>
    <row r="52" spans="1:20" s="19" customFormat="1" ht="14.1" customHeight="1" x14ac:dyDescent="0.25">
      <c r="A52" s="37"/>
      <c r="B52" s="38" t="s">
        <v>51</v>
      </c>
      <c r="C52" s="36">
        <f>'D14'!C53</f>
        <v>0</v>
      </c>
      <c r="D52" s="60">
        <v>7359.8825147583857</v>
      </c>
      <c r="E52" s="61">
        <v>100</v>
      </c>
      <c r="F52" s="58">
        <v>11.056731548267029</v>
      </c>
      <c r="G52" s="62">
        <v>3.5400747875852541</v>
      </c>
      <c r="H52" s="62">
        <v>0.10559126916346431</v>
      </c>
      <c r="I52" s="62">
        <v>1.4516137850081274</v>
      </c>
      <c r="J52" s="62">
        <v>4.4787425234014844</v>
      </c>
      <c r="K52" s="62">
        <v>1.2855807967674036</v>
      </c>
      <c r="L52" s="62">
        <v>0.19512838634131577</v>
      </c>
      <c r="M52" s="58">
        <v>10.153070969930498</v>
      </c>
      <c r="N52" s="62">
        <v>7.0638114212290652</v>
      </c>
      <c r="O52" s="62">
        <v>2.7229699058056767</v>
      </c>
      <c r="P52" s="62">
        <v>0.36628964289576998</v>
      </c>
      <c r="Q52" s="58">
        <v>78.790197481802508</v>
      </c>
      <c r="R52" s="62">
        <v>44.664615856088552</v>
      </c>
      <c r="S52" s="62">
        <v>32.331099372071414</v>
      </c>
      <c r="T52" s="62">
        <v>1.7944822536431055</v>
      </c>
    </row>
    <row r="53" spans="1:20" s="19" customFormat="1" ht="14.1" customHeight="1" x14ac:dyDescent="0.25">
      <c r="A53" s="37"/>
      <c r="B53" s="38" t="s">
        <v>52</v>
      </c>
      <c r="C53" s="36">
        <f>'D14'!C54</f>
        <v>0</v>
      </c>
      <c r="D53" s="60">
        <v>23773.325787997619</v>
      </c>
      <c r="E53" s="61">
        <v>100</v>
      </c>
      <c r="F53" s="58">
        <v>14.278949425510815</v>
      </c>
      <c r="G53" s="62">
        <v>5.4669984466286898</v>
      </c>
      <c r="H53" s="62">
        <v>1.0194517260750122</v>
      </c>
      <c r="I53" s="62">
        <v>1.6390389641806058</v>
      </c>
      <c r="J53" s="62">
        <v>4.1645811823581589</v>
      </c>
      <c r="K53" s="62">
        <v>1.9540397053455183</v>
      </c>
      <c r="L53" s="62">
        <v>3.4839400922880501E-2</v>
      </c>
      <c r="M53" s="58">
        <v>8.210722939006649</v>
      </c>
      <c r="N53" s="62">
        <v>6.6905773969191973</v>
      </c>
      <c r="O53" s="62">
        <v>1.4196183786774925</v>
      </c>
      <c r="P53" s="62">
        <v>0.10052716340996593</v>
      </c>
      <c r="Q53" s="58">
        <v>77.51032763548362</v>
      </c>
      <c r="R53" s="62">
        <v>47.205925697094521</v>
      </c>
      <c r="S53" s="62">
        <v>29.3630533035935</v>
      </c>
      <c r="T53" s="62">
        <v>0.94134863479495101</v>
      </c>
    </row>
    <row r="54" spans="1:20" s="19" customFormat="1" ht="14.1" customHeight="1" x14ac:dyDescent="0.25">
      <c r="A54" s="37"/>
      <c r="B54" s="38" t="s">
        <v>4</v>
      </c>
      <c r="C54" s="36">
        <f>'D14'!C55</f>
        <v>0</v>
      </c>
      <c r="D54" s="60">
        <v>8252.6246712155789</v>
      </c>
      <c r="E54" s="61">
        <v>100</v>
      </c>
      <c r="F54" s="58">
        <v>17.454087004483615</v>
      </c>
      <c r="G54" s="62">
        <v>7.6066752420617894</v>
      </c>
      <c r="H54" s="62">
        <v>1.117029602669368</v>
      </c>
      <c r="I54" s="62">
        <v>1.5449567685907655</v>
      </c>
      <c r="J54" s="62">
        <v>4.2996797519237591</v>
      </c>
      <c r="K54" s="62">
        <v>2.876645627584451</v>
      </c>
      <c r="L54" s="62">
        <v>9.1000116534622234E-3</v>
      </c>
      <c r="M54" s="58">
        <v>6.5447893908330093</v>
      </c>
      <c r="N54" s="62">
        <v>5.274865003988146</v>
      </c>
      <c r="O54" s="62">
        <v>1.2653988488592898</v>
      </c>
      <c r="P54" s="62">
        <v>4.5255379855655168E-3</v>
      </c>
      <c r="Q54" s="58">
        <v>76.001123604682988</v>
      </c>
      <c r="R54" s="62">
        <v>33.277846252152351</v>
      </c>
      <c r="S54" s="62">
        <v>41.948688195653141</v>
      </c>
      <c r="T54" s="62">
        <v>0.77458915687782193</v>
      </c>
    </row>
    <row r="55" spans="1:20" s="19" customFormat="1" ht="14.1" customHeight="1" x14ac:dyDescent="0.25">
      <c r="A55" s="37"/>
      <c r="B55" s="38" t="s">
        <v>117</v>
      </c>
      <c r="C55" s="36">
        <f>'D14'!C56</f>
        <v>0</v>
      </c>
      <c r="D55" s="60">
        <v>61.208865187846989</v>
      </c>
      <c r="E55" s="61">
        <v>100</v>
      </c>
      <c r="F55" s="58">
        <v>5.821899510654303</v>
      </c>
      <c r="G55" s="62">
        <v>0</v>
      </c>
      <c r="H55" s="62">
        <v>1.8874527008969983</v>
      </c>
      <c r="I55" s="62">
        <v>0</v>
      </c>
      <c r="J55" s="62">
        <v>3.9344468097573047</v>
      </c>
      <c r="K55" s="62">
        <v>0</v>
      </c>
      <c r="L55" s="62">
        <v>0</v>
      </c>
      <c r="M55" s="58">
        <v>22.689970090914137</v>
      </c>
      <c r="N55" s="62">
        <v>22.689970090914137</v>
      </c>
      <c r="O55" s="62">
        <v>0</v>
      </c>
      <c r="P55" s="62">
        <v>0</v>
      </c>
      <c r="Q55" s="58">
        <v>71.488130398431565</v>
      </c>
      <c r="R55" s="62">
        <v>53.920905713520845</v>
      </c>
      <c r="S55" s="62">
        <v>17.567224684910641</v>
      </c>
      <c r="T55" s="62">
        <v>0</v>
      </c>
    </row>
    <row r="56" spans="1:20" s="85" customFormat="1" ht="6.75" customHeight="1" x14ac:dyDescent="0.25">
      <c r="A56" s="39"/>
      <c r="B56" s="40"/>
      <c r="C56" s="82">
        <f>'D14'!C48</f>
        <v>0</v>
      </c>
      <c r="D56" s="94"/>
      <c r="E56" s="83"/>
      <c r="F56" s="95"/>
      <c r="G56" s="84"/>
      <c r="H56" s="84"/>
      <c r="I56" s="84"/>
      <c r="J56" s="84"/>
      <c r="K56" s="84"/>
      <c r="L56" s="84"/>
      <c r="M56" s="95"/>
      <c r="N56" s="84"/>
      <c r="O56" s="84"/>
      <c r="P56" s="84"/>
      <c r="Q56" s="95"/>
      <c r="R56" s="84"/>
      <c r="S56" s="84"/>
      <c r="T56" s="84"/>
    </row>
    <row r="57" spans="1:20" s="19" customFormat="1" ht="14.1" customHeight="1" x14ac:dyDescent="0.25">
      <c r="A57" s="37" t="s">
        <v>53</v>
      </c>
      <c r="B57" s="38"/>
      <c r="C57" s="36" t="str">
        <f>'D14'!C57</f>
        <v>***</v>
      </c>
      <c r="D57" s="60"/>
      <c r="E57" s="61"/>
      <c r="F57" s="58"/>
      <c r="G57" s="62"/>
      <c r="H57" s="62"/>
      <c r="I57" s="62"/>
      <c r="J57" s="62"/>
      <c r="K57" s="62"/>
      <c r="L57" s="62"/>
      <c r="M57" s="58"/>
      <c r="N57" s="62"/>
      <c r="O57" s="62"/>
      <c r="P57" s="62"/>
      <c r="Q57" s="58"/>
      <c r="R57" s="62"/>
      <c r="S57" s="62"/>
      <c r="T57" s="62"/>
    </row>
    <row r="58" spans="1:20" s="19" customFormat="1" ht="14.1" customHeight="1" x14ac:dyDescent="0.25">
      <c r="A58" s="37"/>
      <c r="B58" s="38" t="s">
        <v>54</v>
      </c>
      <c r="C58" s="36">
        <f>'D14'!C58</f>
        <v>0</v>
      </c>
      <c r="D58" s="60">
        <v>1858.1567982429931</v>
      </c>
      <c r="E58" s="61">
        <v>100</v>
      </c>
      <c r="F58" s="58">
        <v>1.1631562287043382</v>
      </c>
      <c r="G58" s="62">
        <v>0.4523838607599982</v>
      </c>
      <c r="H58" s="62">
        <v>0</v>
      </c>
      <c r="I58" s="62">
        <v>0.21022918449106867</v>
      </c>
      <c r="J58" s="62">
        <v>0.49069798075548238</v>
      </c>
      <c r="K58" s="62">
        <v>9.8452026977886662E-3</v>
      </c>
      <c r="L58" s="62">
        <v>0</v>
      </c>
      <c r="M58" s="58">
        <v>7.9747162647989143</v>
      </c>
      <c r="N58" s="62">
        <v>3.6397872171532728</v>
      </c>
      <c r="O58" s="62">
        <v>3.1245270500144913</v>
      </c>
      <c r="P58" s="62">
        <v>1.210401997631142</v>
      </c>
      <c r="Q58" s="58">
        <v>90.86212750649662</v>
      </c>
      <c r="R58" s="62">
        <v>52.593502923958809</v>
      </c>
      <c r="S58" s="62">
        <v>20.572231468177279</v>
      </c>
      <c r="T58" s="62">
        <v>17.696393114360635</v>
      </c>
    </row>
    <row r="59" spans="1:20" s="19" customFormat="1" ht="14.1" customHeight="1" x14ac:dyDescent="0.25">
      <c r="A59" s="37"/>
      <c r="B59" s="38" t="s">
        <v>55</v>
      </c>
      <c r="C59" s="36"/>
      <c r="D59" s="60">
        <v>14337.595767206674</v>
      </c>
      <c r="E59" s="61">
        <v>100</v>
      </c>
      <c r="F59" s="58">
        <v>6.769447062960813</v>
      </c>
      <c r="G59" s="62">
        <v>2.1725119469348466</v>
      </c>
      <c r="H59" s="62">
        <v>0.23849176276140518</v>
      </c>
      <c r="I59" s="62">
        <v>1.0612806425641359</v>
      </c>
      <c r="J59" s="62">
        <v>1.938596134045808</v>
      </c>
      <c r="K59" s="62">
        <v>1.1629751729373967</v>
      </c>
      <c r="L59" s="62">
        <v>0.19559140371723366</v>
      </c>
      <c r="M59" s="58">
        <v>2.6037635640254742</v>
      </c>
      <c r="N59" s="62">
        <v>1.8288552945867145</v>
      </c>
      <c r="O59" s="62">
        <v>0.71139189033726802</v>
      </c>
      <c r="P59" s="62">
        <v>6.3516379101495254E-2</v>
      </c>
      <c r="Q59" s="58">
        <v>90.626789373013267</v>
      </c>
      <c r="R59" s="62">
        <v>50.693722558922317</v>
      </c>
      <c r="S59" s="62">
        <v>37.166509951071149</v>
      </c>
      <c r="T59" s="62">
        <v>2.7665568630183701</v>
      </c>
    </row>
    <row r="60" spans="1:20" s="19" customFormat="1" ht="14.1" customHeight="1" x14ac:dyDescent="0.25">
      <c r="A60" s="37"/>
      <c r="B60" s="38" t="s">
        <v>211</v>
      </c>
      <c r="C60" s="36"/>
      <c r="D60" s="60">
        <v>3046.0184699973133</v>
      </c>
      <c r="E60" s="61">
        <v>100</v>
      </c>
      <c r="F60" s="58">
        <v>10.259670877656646</v>
      </c>
      <c r="G60" s="62">
        <v>4.0117651361979867</v>
      </c>
      <c r="H60" s="62">
        <v>0.16837375338197846</v>
      </c>
      <c r="I60" s="62">
        <v>0.53661378959550776</v>
      </c>
      <c r="J60" s="62">
        <v>4.5780999778065086</v>
      </c>
      <c r="K60" s="62">
        <v>0.92059491491200685</v>
      </c>
      <c r="L60" s="62">
        <v>4.4223305762645326E-2</v>
      </c>
      <c r="M60" s="58">
        <v>6.6820091264083832</v>
      </c>
      <c r="N60" s="62">
        <v>5.1901464678782201</v>
      </c>
      <c r="O60" s="62">
        <v>0.73798951898935627</v>
      </c>
      <c r="P60" s="62">
        <v>0.7538731395408087</v>
      </c>
      <c r="Q60" s="58">
        <v>83.05831999593525</v>
      </c>
      <c r="R60" s="62">
        <v>43.894306440582689</v>
      </c>
      <c r="S60" s="62">
        <v>35.779491688364615</v>
      </c>
      <c r="T60" s="62">
        <v>3.3845218669874177</v>
      </c>
    </row>
    <row r="61" spans="1:20" s="19" customFormat="1" ht="14.1" customHeight="1" x14ac:dyDescent="0.25">
      <c r="A61" s="37"/>
      <c r="B61" s="38" t="s">
        <v>212</v>
      </c>
      <c r="C61" s="36">
        <f>'D14'!C61</f>
        <v>0</v>
      </c>
      <c r="D61" s="60">
        <v>1904.7662683013382</v>
      </c>
      <c r="E61" s="61">
        <v>100</v>
      </c>
      <c r="F61" s="58">
        <v>6.5492690297637131</v>
      </c>
      <c r="G61" s="62">
        <v>2.6832910148308695</v>
      </c>
      <c r="H61" s="62">
        <v>0.12792359713307849</v>
      </c>
      <c r="I61" s="62">
        <v>1.1295478799244425</v>
      </c>
      <c r="J61" s="62">
        <v>2.2000513884400865</v>
      </c>
      <c r="K61" s="62">
        <v>0.40663412588860437</v>
      </c>
      <c r="L61" s="62">
        <v>1.8210235466314707E-3</v>
      </c>
      <c r="M61" s="58">
        <v>4.8050215331802368</v>
      </c>
      <c r="N61" s="62">
        <v>2.833997357259384</v>
      </c>
      <c r="O61" s="62">
        <v>1.2815490912629102</v>
      </c>
      <c r="P61" s="62">
        <v>0.68947508465794283</v>
      </c>
      <c r="Q61" s="58">
        <v>88.645709437055984</v>
      </c>
      <c r="R61" s="62">
        <v>59.594519098440223</v>
      </c>
      <c r="S61" s="62">
        <v>26.934223593544043</v>
      </c>
      <c r="T61" s="62">
        <v>2.1169667450717768</v>
      </c>
    </row>
    <row r="62" spans="1:20" s="19" customFormat="1" ht="14.1" customHeight="1" x14ac:dyDescent="0.25">
      <c r="A62" s="37"/>
      <c r="B62" s="38" t="s">
        <v>56</v>
      </c>
      <c r="C62" s="36">
        <f>'D14'!C62</f>
        <v>0</v>
      </c>
      <c r="D62" s="60">
        <v>20618.803418306648</v>
      </c>
      <c r="E62" s="61">
        <v>100</v>
      </c>
      <c r="F62" s="58">
        <v>14.489243987034667</v>
      </c>
      <c r="G62" s="62">
        <v>6.3567657518787328</v>
      </c>
      <c r="H62" s="62">
        <v>1.0348198657978549</v>
      </c>
      <c r="I62" s="62">
        <v>1.3854925460361436</v>
      </c>
      <c r="J62" s="62">
        <v>3.8592492241754739</v>
      </c>
      <c r="K62" s="62">
        <v>1.8188946985516332</v>
      </c>
      <c r="L62" s="62">
        <v>3.4021900594824711E-2</v>
      </c>
      <c r="M62" s="58">
        <v>6.0469463799117324</v>
      </c>
      <c r="N62" s="62">
        <v>4.5145434940428464</v>
      </c>
      <c r="O62" s="62">
        <v>1.4541044169864152</v>
      </c>
      <c r="P62" s="62">
        <v>7.8298468882501929E-2</v>
      </c>
      <c r="Q62" s="58">
        <v>79.463809633053003</v>
      </c>
      <c r="R62" s="62">
        <v>48.320830657875746</v>
      </c>
      <c r="S62" s="62">
        <v>29.650496516616357</v>
      </c>
      <c r="T62" s="62">
        <v>1.4924824585602885</v>
      </c>
    </row>
    <row r="63" spans="1:20" s="19" customFormat="1" ht="14.1" customHeight="1" x14ac:dyDescent="0.25">
      <c r="A63" s="37"/>
      <c r="B63" s="38" t="s">
        <v>57</v>
      </c>
      <c r="C63" s="36">
        <f>'D14'!C63</f>
        <v>0</v>
      </c>
      <c r="D63" s="60">
        <v>3798.9002068525861</v>
      </c>
      <c r="E63" s="61">
        <v>100</v>
      </c>
      <c r="F63" s="58">
        <v>10.918086080322167</v>
      </c>
      <c r="G63" s="62">
        <v>2.7260878736672418</v>
      </c>
      <c r="H63" s="62">
        <v>1.0380155661495876</v>
      </c>
      <c r="I63" s="62">
        <v>1.9630322035346492</v>
      </c>
      <c r="J63" s="62">
        <v>4.1669192051016717</v>
      </c>
      <c r="K63" s="62">
        <v>1.0086438996301814</v>
      </c>
      <c r="L63" s="62">
        <v>1.5387332238833493E-2</v>
      </c>
      <c r="M63" s="58">
        <v>6.2451394068222079</v>
      </c>
      <c r="N63" s="62">
        <v>5.1469741430075979</v>
      </c>
      <c r="O63" s="62">
        <v>1.0981652638146095</v>
      </c>
      <c r="P63" s="62">
        <v>0</v>
      </c>
      <c r="Q63" s="58">
        <v>82.836774512855513</v>
      </c>
      <c r="R63" s="62">
        <v>41.615194854975741</v>
      </c>
      <c r="S63" s="62">
        <v>41.181679590735257</v>
      </c>
      <c r="T63" s="62">
        <v>3.990006714538117E-2</v>
      </c>
    </row>
    <row r="64" spans="1:20" s="19" customFormat="1" ht="14.1" customHeight="1" x14ac:dyDescent="0.25">
      <c r="A64" s="37"/>
      <c r="B64" s="38" t="s">
        <v>204</v>
      </c>
      <c r="C64" s="36">
        <f>'D14'!C64</f>
        <v>0</v>
      </c>
      <c r="D64" s="60">
        <v>161.46251086816454</v>
      </c>
      <c r="E64" s="61">
        <v>100</v>
      </c>
      <c r="F64" s="58">
        <v>23.758538995364962</v>
      </c>
      <c r="G64" s="62">
        <v>4.1803593461811959</v>
      </c>
      <c r="H64" s="62">
        <v>1.7160704255429109</v>
      </c>
      <c r="I64" s="62">
        <v>3.4803632669598592</v>
      </c>
      <c r="J64" s="62">
        <v>14.381745956681003</v>
      </c>
      <c r="K64" s="62">
        <v>0</v>
      </c>
      <c r="L64" s="62">
        <v>0</v>
      </c>
      <c r="M64" s="58">
        <v>8.208758648516076</v>
      </c>
      <c r="N64" s="62">
        <v>5.8906982289065164</v>
      </c>
      <c r="O64" s="62">
        <v>2.2395072945014896</v>
      </c>
      <c r="P64" s="62">
        <v>7.8553125108068528E-2</v>
      </c>
      <c r="Q64" s="58">
        <v>68.032702356118804</v>
      </c>
      <c r="R64" s="62">
        <v>65.905789369335864</v>
      </c>
      <c r="S64" s="62">
        <v>2.1269129867829357</v>
      </c>
      <c r="T64" s="62">
        <v>0</v>
      </c>
    </row>
    <row r="65" spans="1:20" s="19" customFormat="1" ht="14.1" customHeight="1" x14ac:dyDescent="0.25">
      <c r="A65" s="37"/>
      <c r="B65" s="38" t="s">
        <v>58</v>
      </c>
      <c r="C65" s="36">
        <f>'D14'!C65</f>
        <v>0</v>
      </c>
      <c r="D65" s="60">
        <v>5782.2084243882855</v>
      </c>
      <c r="E65" s="61">
        <v>100</v>
      </c>
      <c r="F65" s="58">
        <v>13.509982583797274</v>
      </c>
      <c r="G65" s="62">
        <v>4.3563163814518306</v>
      </c>
      <c r="H65" s="62">
        <v>0.36595769412533341</v>
      </c>
      <c r="I65" s="62">
        <v>0.98993823385768343</v>
      </c>
      <c r="J65" s="62">
        <v>4.4973175393231459</v>
      </c>
      <c r="K65" s="62">
        <v>3.1190840579849133</v>
      </c>
      <c r="L65" s="62">
        <v>0.18136867705437157</v>
      </c>
      <c r="M65" s="58">
        <v>21.54472489616882</v>
      </c>
      <c r="N65" s="62">
        <v>16.660007714397786</v>
      </c>
      <c r="O65" s="62">
        <v>4.7389023655818505</v>
      </c>
      <c r="P65" s="62">
        <v>0.14581481618922709</v>
      </c>
      <c r="Q65" s="58">
        <v>64.945292520033391</v>
      </c>
      <c r="R65" s="62">
        <v>45.793227275941916</v>
      </c>
      <c r="S65" s="62">
        <v>19.010443232935103</v>
      </c>
      <c r="T65" s="62">
        <v>0.1416220111568221</v>
      </c>
    </row>
    <row r="66" spans="1:20" s="19" customFormat="1" ht="14.1" customHeight="1" x14ac:dyDescent="0.25">
      <c r="A66" s="37"/>
      <c r="B66" s="38" t="s">
        <v>59</v>
      </c>
      <c r="C66" s="36">
        <f>'D14'!C66</f>
        <v>0</v>
      </c>
      <c r="D66" s="60">
        <v>8203.5145670375932</v>
      </c>
      <c r="E66" s="61">
        <v>100</v>
      </c>
      <c r="F66" s="58">
        <v>15.59516266895335</v>
      </c>
      <c r="G66" s="62">
        <v>3.3104786307016547</v>
      </c>
      <c r="H66" s="62">
        <v>0.17709316458224739</v>
      </c>
      <c r="I66" s="62">
        <v>1.4063566473777471</v>
      </c>
      <c r="J66" s="62">
        <v>7.5848013879043945</v>
      </c>
      <c r="K66" s="62">
        <v>3.0383542157725092</v>
      </c>
      <c r="L66" s="62">
        <v>7.8078622614809481E-2</v>
      </c>
      <c r="M66" s="58">
        <v>28.883319356547631</v>
      </c>
      <c r="N66" s="62">
        <v>22.523891620424781</v>
      </c>
      <c r="O66" s="62">
        <v>6.2249811499072631</v>
      </c>
      <c r="P66" s="62">
        <v>0.13444658621543557</v>
      </c>
      <c r="Q66" s="58">
        <v>55.521517974499133</v>
      </c>
      <c r="R66" s="62">
        <v>36.177103559712101</v>
      </c>
      <c r="S66" s="62">
        <v>19.159616408312903</v>
      </c>
      <c r="T66" s="62">
        <v>0.18479800647404038</v>
      </c>
    </row>
    <row r="67" spans="1:20" s="19" customFormat="1" ht="14.1" customHeight="1" x14ac:dyDescent="0.25">
      <c r="A67" s="37"/>
      <c r="B67" s="38" t="s">
        <v>61</v>
      </c>
      <c r="C67" s="36">
        <f>'D14'!C67</f>
        <v>0</v>
      </c>
      <c r="D67" s="60">
        <v>3356.3176088765958</v>
      </c>
      <c r="E67" s="61">
        <v>100</v>
      </c>
      <c r="F67" s="58">
        <v>39.615003567506392</v>
      </c>
      <c r="G67" s="62">
        <v>8.9142212399902796</v>
      </c>
      <c r="H67" s="62">
        <v>1.4723883536759912</v>
      </c>
      <c r="I67" s="62">
        <v>5.4663469833647778</v>
      </c>
      <c r="J67" s="62">
        <v>22.557575542273359</v>
      </c>
      <c r="K67" s="62">
        <v>1.1996186953876684</v>
      </c>
      <c r="L67" s="62">
        <v>4.8527528144206439E-3</v>
      </c>
      <c r="M67" s="58">
        <v>18.727271347523637</v>
      </c>
      <c r="N67" s="62">
        <v>10.127140317298064</v>
      </c>
      <c r="O67" s="62">
        <v>8.4252983023434194</v>
      </c>
      <c r="P67" s="62">
        <v>0.17483272788216064</v>
      </c>
      <c r="Q67" s="58">
        <v>41.657725084969904</v>
      </c>
      <c r="R67" s="62">
        <v>31.02413269382934</v>
      </c>
      <c r="S67" s="62">
        <v>10.506685744892046</v>
      </c>
      <c r="T67" s="62">
        <v>0.12690664624832096</v>
      </c>
    </row>
    <row r="68" spans="1:20" s="19" customFormat="1" ht="14.1" customHeight="1" x14ac:dyDescent="0.25">
      <c r="A68" s="37"/>
      <c r="B68" s="38" t="s">
        <v>60</v>
      </c>
      <c r="C68" s="36"/>
      <c r="D68" s="60">
        <v>1772.0729445072873</v>
      </c>
      <c r="E68" s="61">
        <v>100</v>
      </c>
      <c r="F68" s="58">
        <v>9.7089039096452545</v>
      </c>
      <c r="G68" s="62">
        <v>1.8488013705375648</v>
      </c>
      <c r="H68" s="62">
        <v>0.47832900655339522</v>
      </c>
      <c r="I68" s="62">
        <v>1.3075804705883214</v>
      </c>
      <c r="J68" s="62">
        <v>4.5998678105344464</v>
      </c>
      <c r="K68" s="62">
        <v>1.3365150626256699</v>
      </c>
      <c r="L68" s="62">
        <v>0.13781018880585599</v>
      </c>
      <c r="M68" s="58">
        <v>20.972012092508596</v>
      </c>
      <c r="N68" s="62">
        <v>16.73505275086</v>
      </c>
      <c r="O68" s="62">
        <v>4.0481751948776274</v>
      </c>
      <c r="P68" s="62">
        <v>0.18878414677097952</v>
      </c>
      <c r="Q68" s="58">
        <v>69.319083997846093</v>
      </c>
      <c r="R68" s="62">
        <v>52.351743479810537</v>
      </c>
      <c r="S68" s="62">
        <v>16.925370580855159</v>
      </c>
      <c r="T68" s="62">
        <v>4.1969937180413169E-2</v>
      </c>
    </row>
    <row r="69" spans="1:20" s="19" customFormat="1" ht="14.1" customHeight="1" x14ac:dyDescent="0.25">
      <c r="A69" s="37"/>
      <c r="B69" s="38" t="s">
        <v>117</v>
      </c>
      <c r="C69" s="36"/>
      <c r="D69" s="60">
        <v>123.81377896109839</v>
      </c>
      <c r="E69" s="61">
        <v>100</v>
      </c>
      <c r="F69" s="58">
        <v>8.911105124916288</v>
      </c>
      <c r="G69" s="62">
        <v>0</v>
      </c>
      <c r="H69" s="62">
        <v>0</v>
      </c>
      <c r="I69" s="62">
        <v>0.46840395385509742</v>
      </c>
      <c r="J69" s="62">
        <v>8.4427011710611897</v>
      </c>
      <c r="K69" s="62">
        <v>0</v>
      </c>
      <c r="L69" s="62">
        <v>0</v>
      </c>
      <c r="M69" s="58">
        <v>2.2603413684568712</v>
      </c>
      <c r="N69" s="62">
        <v>2.2603413684568712</v>
      </c>
      <c r="O69" s="62">
        <v>0</v>
      </c>
      <c r="P69" s="62">
        <v>0</v>
      </c>
      <c r="Q69" s="58">
        <v>88.828553506626847</v>
      </c>
      <c r="R69" s="62">
        <v>54.926346001487438</v>
      </c>
      <c r="S69" s="62">
        <v>33.902207505139408</v>
      </c>
      <c r="T69" s="62">
        <v>0</v>
      </c>
    </row>
    <row r="70" spans="1:20" s="19" customFormat="1" ht="14.1" customHeight="1" x14ac:dyDescent="0.25">
      <c r="A70" s="37" t="s">
        <v>5</v>
      </c>
      <c r="B70" s="38"/>
      <c r="C70" s="36" t="str">
        <f>'D14'!C70</f>
        <v>***</v>
      </c>
      <c r="D70" s="60"/>
      <c r="E70" s="61"/>
      <c r="F70" s="58"/>
      <c r="G70" s="62"/>
      <c r="H70" s="62"/>
      <c r="I70" s="62"/>
      <c r="J70" s="62"/>
      <c r="K70" s="62"/>
      <c r="L70" s="62"/>
      <c r="M70" s="58"/>
      <c r="N70" s="62"/>
      <c r="O70" s="62"/>
      <c r="P70" s="62"/>
      <c r="Q70" s="58"/>
      <c r="R70" s="62"/>
      <c r="S70" s="62"/>
      <c r="T70" s="62"/>
    </row>
    <row r="71" spans="1:20" s="19" customFormat="1" ht="14.1" customHeight="1" x14ac:dyDescent="0.25">
      <c r="A71" s="37"/>
      <c r="B71" s="38" t="s">
        <v>6</v>
      </c>
      <c r="C71" s="36">
        <f>'D14'!C71</f>
        <v>0</v>
      </c>
      <c r="D71" s="60">
        <v>29161.584615271237</v>
      </c>
      <c r="E71" s="61">
        <v>100</v>
      </c>
      <c r="F71" s="58">
        <v>11.924702608583114</v>
      </c>
      <c r="G71" s="62">
        <v>5.4150586037894062</v>
      </c>
      <c r="H71" s="62">
        <v>0.34939163810905965</v>
      </c>
      <c r="I71" s="62">
        <v>1.1971585285061164</v>
      </c>
      <c r="J71" s="62">
        <v>3.8662371090704055</v>
      </c>
      <c r="K71" s="62">
        <v>1.0134730093074726</v>
      </c>
      <c r="L71" s="62">
        <v>8.338371980069785E-2</v>
      </c>
      <c r="M71" s="58">
        <v>3.2024318502209912</v>
      </c>
      <c r="N71" s="62">
        <v>1.9982085141816677</v>
      </c>
      <c r="O71" s="62">
        <v>1.0273089865956422</v>
      </c>
      <c r="P71" s="62">
        <v>0.17691434944368295</v>
      </c>
      <c r="Q71" s="58">
        <v>84.872865541196632</v>
      </c>
      <c r="R71" s="62">
        <v>51.339672652974372</v>
      </c>
      <c r="S71" s="62">
        <v>31.427120565467305</v>
      </c>
      <c r="T71" s="62">
        <v>2.1060723227542693</v>
      </c>
    </row>
    <row r="72" spans="1:20" s="19" customFormat="1" ht="14.1" customHeight="1" x14ac:dyDescent="0.25">
      <c r="A72" s="37"/>
      <c r="B72" s="38" t="s">
        <v>7</v>
      </c>
      <c r="C72" s="36">
        <f>'D14'!C72</f>
        <v>0</v>
      </c>
      <c r="D72" s="60">
        <v>2953.3871566191415</v>
      </c>
      <c r="E72" s="61">
        <v>100</v>
      </c>
      <c r="F72" s="58">
        <v>39.979847827754305</v>
      </c>
      <c r="G72" s="62">
        <v>9.1955674809290837</v>
      </c>
      <c r="H72" s="62">
        <v>0.13405503054901644</v>
      </c>
      <c r="I72" s="62">
        <v>4.3509483649861709</v>
      </c>
      <c r="J72" s="62">
        <v>25.308209734315309</v>
      </c>
      <c r="K72" s="62">
        <v>0.9855524033527393</v>
      </c>
      <c r="L72" s="62">
        <v>5.5148136220685246E-3</v>
      </c>
      <c r="M72" s="58">
        <v>17.920945660267066</v>
      </c>
      <c r="N72" s="62">
        <v>9.6633375794711629</v>
      </c>
      <c r="O72" s="62">
        <v>7.8647117021009834</v>
      </c>
      <c r="P72" s="62">
        <v>0.39289637869496735</v>
      </c>
      <c r="Q72" s="58">
        <v>42.099206511978608</v>
      </c>
      <c r="R72" s="62">
        <v>32.266192389709794</v>
      </c>
      <c r="S72" s="62">
        <v>9.8234273249508366</v>
      </c>
      <c r="T72" s="62">
        <v>9.5867973178599946E-3</v>
      </c>
    </row>
    <row r="73" spans="1:20" s="19" customFormat="1" ht="14.1" customHeight="1" x14ac:dyDescent="0.25">
      <c r="A73" s="37"/>
      <c r="B73" s="38" t="s">
        <v>122</v>
      </c>
      <c r="C73" s="36">
        <f>'D14'!C73</f>
        <v>0</v>
      </c>
      <c r="D73" s="60">
        <v>3081.1634648629743</v>
      </c>
      <c r="E73" s="61">
        <v>100</v>
      </c>
      <c r="F73" s="58">
        <v>10.286576761492903</v>
      </c>
      <c r="G73" s="62">
        <v>2.1371315302203726</v>
      </c>
      <c r="H73" s="62">
        <v>3.285556214932805</v>
      </c>
      <c r="I73" s="62">
        <v>0.6294263948874349</v>
      </c>
      <c r="J73" s="62">
        <v>1.3418782443049779</v>
      </c>
      <c r="K73" s="62">
        <v>2.8853336821209483</v>
      </c>
      <c r="L73" s="62">
        <v>7.2506950263596919E-3</v>
      </c>
      <c r="M73" s="58">
        <v>1.8804774446003298</v>
      </c>
      <c r="N73" s="62">
        <v>0.64179573804705348</v>
      </c>
      <c r="O73" s="62">
        <v>1.2386817065532756</v>
      </c>
      <c r="P73" s="62">
        <v>0</v>
      </c>
      <c r="Q73" s="58">
        <v>87.832945793906603</v>
      </c>
      <c r="R73" s="62">
        <v>24.085470791657496</v>
      </c>
      <c r="S73" s="62">
        <v>51.131880033499861</v>
      </c>
      <c r="T73" s="62">
        <v>12.615594968749051</v>
      </c>
    </row>
    <row r="74" spans="1:20" s="19" customFormat="1" ht="14.1" customHeight="1" x14ac:dyDescent="0.25">
      <c r="A74" s="37"/>
      <c r="B74" s="38" t="s">
        <v>8</v>
      </c>
      <c r="C74" s="36">
        <f>'D14'!C74</f>
        <v>0</v>
      </c>
      <c r="D74" s="60">
        <v>11087.476840085734</v>
      </c>
      <c r="E74" s="61">
        <v>100</v>
      </c>
      <c r="F74" s="58">
        <v>5.9283859998921944</v>
      </c>
      <c r="G74" s="62">
        <v>1.9143057930110354</v>
      </c>
      <c r="H74" s="62">
        <v>0</v>
      </c>
      <c r="I74" s="62">
        <v>0.4270320622809794</v>
      </c>
      <c r="J74" s="62">
        <v>2.8848705653178039</v>
      </c>
      <c r="K74" s="62">
        <v>0.67385315542690516</v>
      </c>
      <c r="L74" s="62">
        <v>2.8324423855472063E-2</v>
      </c>
      <c r="M74" s="58">
        <v>16.739407185690855</v>
      </c>
      <c r="N74" s="62">
        <v>12.002849940881784</v>
      </c>
      <c r="O74" s="62">
        <v>4.4715420642846713</v>
      </c>
      <c r="P74" s="62">
        <v>0.26501518052443623</v>
      </c>
      <c r="Q74" s="58">
        <v>77.332206814416352</v>
      </c>
      <c r="R74" s="62">
        <v>60.157227491486829</v>
      </c>
      <c r="S74" s="62">
        <v>16.616069678582569</v>
      </c>
      <c r="T74" s="62">
        <v>0.5589096443474002</v>
      </c>
    </row>
    <row r="75" spans="1:20" s="19" customFormat="1" ht="14.1" customHeight="1" x14ac:dyDescent="0.25">
      <c r="A75" s="37"/>
      <c r="B75" s="38" t="s">
        <v>9</v>
      </c>
      <c r="C75" s="36">
        <f>'D14'!C75</f>
        <v>0</v>
      </c>
      <c r="D75" s="60">
        <v>10939.792488822171</v>
      </c>
      <c r="E75" s="61">
        <v>100</v>
      </c>
      <c r="F75" s="58">
        <v>14.963845343713126</v>
      </c>
      <c r="G75" s="62">
        <v>4.2023785984447519</v>
      </c>
      <c r="H75" s="62">
        <v>0.27352424876557374</v>
      </c>
      <c r="I75" s="62">
        <v>1.0112776849412157</v>
      </c>
      <c r="J75" s="62">
        <v>5.3199886923304121</v>
      </c>
      <c r="K75" s="62">
        <v>4.1256357398490664</v>
      </c>
      <c r="L75" s="62">
        <v>3.1040379382122125E-2</v>
      </c>
      <c r="M75" s="58">
        <v>7.7502326940590649</v>
      </c>
      <c r="N75" s="62">
        <v>6.0535856390372391</v>
      </c>
      <c r="O75" s="62">
        <v>1.6188861737721283</v>
      </c>
      <c r="P75" s="62">
        <v>7.7760881249686137E-2</v>
      </c>
      <c r="Q75" s="58">
        <v>77.285921962227633</v>
      </c>
      <c r="R75" s="62">
        <v>41.20721625591586</v>
      </c>
      <c r="S75" s="62">
        <v>35.186296011486</v>
      </c>
      <c r="T75" s="62">
        <v>0.89240969482666854</v>
      </c>
    </row>
    <row r="76" spans="1:20" s="19" customFormat="1" ht="14.1" customHeight="1" x14ac:dyDescent="0.25">
      <c r="A76" s="37"/>
      <c r="B76" s="38" t="s">
        <v>10</v>
      </c>
      <c r="C76" s="36">
        <f>'D14'!C76</f>
        <v>0</v>
      </c>
      <c r="D76" s="60">
        <v>7740.2261978848319</v>
      </c>
      <c r="E76" s="61">
        <v>100</v>
      </c>
      <c r="F76" s="58">
        <v>15.165447745399021</v>
      </c>
      <c r="G76" s="62">
        <v>2.3396520513282386</v>
      </c>
      <c r="H76" s="62">
        <v>1.9884407166718225</v>
      </c>
      <c r="I76" s="62">
        <v>3.6774275888147563</v>
      </c>
      <c r="J76" s="62">
        <v>4.6368099912329344</v>
      </c>
      <c r="K76" s="62">
        <v>2.1964723478018171</v>
      </c>
      <c r="L76" s="62">
        <v>0.32664504954940243</v>
      </c>
      <c r="M76" s="58">
        <v>34.974797048244113</v>
      </c>
      <c r="N76" s="62">
        <v>29.032543389127358</v>
      </c>
      <c r="O76" s="62">
        <v>5.7929844373349679</v>
      </c>
      <c r="P76" s="62">
        <v>0.14926922178170424</v>
      </c>
      <c r="Q76" s="58">
        <v>49.859755206357384</v>
      </c>
      <c r="R76" s="62">
        <v>28.118330638130448</v>
      </c>
      <c r="S76" s="62">
        <v>21.176201017727728</v>
      </c>
      <c r="T76" s="62">
        <v>0.56522355049911299</v>
      </c>
    </row>
    <row r="77" spans="1:20" s="19" customFormat="1" ht="14.1" customHeight="1" x14ac:dyDescent="0.25">
      <c r="A77" s="37" t="s">
        <v>72</v>
      </c>
      <c r="B77" s="38"/>
      <c r="C77" s="36" t="str">
        <f>'D14'!C77</f>
        <v>***</v>
      </c>
      <c r="D77" s="60"/>
      <c r="E77" s="61"/>
      <c r="F77" s="58"/>
      <c r="G77" s="62"/>
      <c r="H77" s="62"/>
      <c r="I77" s="62"/>
      <c r="J77" s="62"/>
      <c r="K77" s="62"/>
      <c r="L77" s="62"/>
      <c r="M77" s="58"/>
      <c r="N77" s="62"/>
      <c r="O77" s="62"/>
      <c r="P77" s="62"/>
      <c r="Q77" s="58"/>
      <c r="R77" s="62"/>
      <c r="S77" s="62"/>
      <c r="T77" s="62"/>
    </row>
    <row r="78" spans="1:20" s="19" customFormat="1" ht="14.1" customHeight="1" x14ac:dyDescent="0.25">
      <c r="A78" s="37"/>
      <c r="B78" s="38" t="s">
        <v>163</v>
      </c>
      <c r="C78" s="36">
        <f>'D14'!C78</f>
        <v>0</v>
      </c>
      <c r="D78" s="60">
        <v>4031.9924900357187</v>
      </c>
      <c r="E78" s="61">
        <v>100</v>
      </c>
      <c r="F78" s="58">
        <v>15.937138131827764</v>
      </c>
      <c r="G78" s="62">
        <v>3.2322042426549316</v>
      </c>
      <c r="H78" s="62">
        <v>1.615048004037213</v>
      </c>
      <c r="I78" s="62">
        <v>3.0054866763650341</v>
      </c>
      <c r="J78" s="62">
        <v>7.345163042837072</v>
      </c>
      <c r="K78" s="62">
        <v>0.62509426349879915</v>
      </c>
      <c r="L78" s="62">
        <v>0.11414190243470325</v>
      </c>
      <c r="M78" s="58">
        <v>14.97571451589309</v>
      </c>
      <c r="N78" s="62">
        <v>11.347229670186934</v>
      </c>
      <c r="O78" s="62">
        <v>3.5043754793742159</v>
      </c>
      <c r="P78" s="62">
        <v>0.12410936633192048</v>
      </c>
      <c r="Q78" s="58">
        <v>69.08714735227916</v>
      </c>
      <c r="R78" s="62">
        <v>37.146246371286296</v>
      </c>
      <c r="S78" s="62">
        <v>28.35155072987574</v>
      </c>
      <c r="T78" s="62">
        <v>3.5893502511171724</v>
      </c>
    </row>
    <row r="79" spans="1:20" s="19" customFormat="1" ht="14.1" customHeight="1" x14ac:dyDescent="0.25">
      <c r="A79" s="37"/>
      <c r="B79" s="38" t="s">
        <v>164</v>
      </c>
      <c r="C79" s="36">
        <f>'D14'!C79</f>
        <v>0</v>
      </c>
      <c r="D79" s="60">
        <v>15919.945716553977</v>
      </c>
      <c r="E79" s="61">
        <v>100</v>
      </c>
      <c r="F79" s="58">
        <v>11.648184481956394</v>
      </c>
      <c r="G79" s="62">
        <v>4.1013593619112836</v>
      </c>
      <c r="H79" s="62">
        <v>0.43935344223446871</v>
      </c>
      <c r="I79" s="62">
        <v>1.3587755129857175</v>
      </c>
      <c r="J79" s="62">
        <v>4.5342662023224154</v>
      </c>
      <c r="K79" s="62">
        <v>1.2026005854652255</v>
      </c>
      <c r="L79" s="62">
        <v>1.1829377037272833E-2</v>
      </c>
      <c r="M79" s="58">
        <v>9.1699266571954929</v>
      </c>
      <c r="N79" s="62">
        <v>6.4758646083676759</v>
      </c>
      <c r="O79" s="62">
        <v>2.4644836353947817</v>
      </c>
      <c r="P79" s="62">
        <v>0.22957841343303498</v>
      </c>
      <c r="Q79" s="58">
        <v>79.181888860848474</v>
      </c>
      <c r="R79" s="62">
        <v>49.925884483042715</v>
      </c>
      <c r="S79" s="62">
        <v>27.861104563533679</v>
      </c>
      <c r="T79" s="62">
        <v>1.3948998142723315</v>
      </c>
    </row>
    <row r="80" spans="1:20" s="19" customFormat="1" ht="14.1" customHeight="1" x14ac:dyDescent="0.25">
      <c r="A80" s="37"/>
      <c r="B80" s="38" t="s">
        <v>219</v>
      </c>
      <c r="C80" s="36"/>
      <c r="D80" s="60">
        <v>7173.0949627453201</v>
      </c>
      <c r="E80" s="61">
        <v>100</v>
      </c>
      <c r="F80" s="58">
        <v>11.931487526130946</v>
      </c>
      <c r="G80" s="62">
        <v>3.1404338863367562</v>
      </c>
      <c r="H80" s="62">
        <v>0.55982899186700175</v>
      </c>
      <c r="I80" s="62">
        <v>0.95823058988802734</v>
      </c>
      <c r="J80" s="62">
        <v>5.0838185927499753</v>
      </c>
      <c r="K80" s="62">
        <v>1.8687252756845303</v>
      </c>
      <c r="L80" s="62">
        <v>0.32045018960466048</v>
      </c>
      <c r="M80" s="58">
        <v>14.369890652167044</v>
      </c>
      <c r="N80" s="62">
        <v>10.386103825919712</v>
      </c>
      <c r="O80" s="62">
        <v>3.8596647324214861</v>
      </c>
      <c r="P80" s="62">
        <v>0.12412209382584106</v>
      </c>
      <c r="Q80" s="58">
        <v>73.698621821701906</v>
      </c>
      <c r="R80" s="62">
        <v>47.224723107333425</v>
      </c>
      <c r="S80" s="62">
        <v>24.518359144185645</v>
      </c>
      <c r="T80" s="62">
        <v>1.9555395701825413</v>
      </c>
    </row>
    <row r="81" spans="1:20" s="19" customFormat="1" ht="14.1" customHeight="1" x14ac:dyDescent="0.25">
      <c r="A81" s="37"/>
      <c r="B81" s="38" t="s">
        <v>214</v>
      </c>
      <c r="C81" s="36"/>
      <c r="D81" s="60">
        <v>5519.7128852649694</v>
      </c>
      <c r="E81" s="61">
        <v>100</v>
      </c>
      <c r="F81" s="58">
        <v>11.476383139959921</v>
      </c>
      <c r="G81" s="62">
        <v>3.5074119153749646</v>
      </c>
      <c r="H81" s="62">
        <v>0.34357590737203125</v>
      </c>
      <c r="I81" s="62">
        <v>0.72638498431253784</v>
      </c>
      <c r="J81" s="62">
        <v>4.3242443677473847</v>
      </c>
      <c r="K81" s="62">
        <v>2.2291392995685739</v>
      </c>
      <c r="L81" s="62">
        <v>0.34562666558443372</v>
      </c>
      <c r="M81" s="58">
        <v>14.790253458531422</v>
      </c>
      <c r="N81" s="62">
        <v>11.465636461739223</v>
      </c>
      <c r="O81" s="62">
        <v>3.0051960742786785</v>
      </c>
      <c r="P81" s="62">
        <v>0.31942092251349957</v>
      </c>
      <c r="Q81" s="58">
        <v>73.733363401508569</v>
      </c>
      <c r="R81" s="62">
        <v>46.642444496585561</v>
      </c>
      <c r="S81" s="62">
        <v>24.679293174621051</v>
      </c>
      <c r="T81" s="62">
        <v>2.4116257303020143</v>
      </c>
    </row>
    <row r="82" spans="1:20" s="19" customFormat="1" ht="14.1" customHeight="1" x14ac:dyDescent="0.25">
      <c r="A82" s="37"/>
      <c r="B82" s="38" t="s">
        <v>216</v>
      </c>
      <c r="C82" s="36"/>
      <c r="D82" s="60">
        <v>3504.2134938782101</v>
      </c>
      <c r="E82" s="61">
        <v>100</v>
      </c>
      <c r="F82" s="58">
        <v>16.341717435405958</v>
      </c>
      <c r="G82" s="62">
        <v>4.2171901965074881</v>
      </c>
      <c r="H82" s="62">
        <v>0.17788586306954693</v>
      </c>
      <c r="I82" s="62">
        <v>1.6659790694444012</v>
      </c>
      <c r="J82" s="62">
        <v>5.870824075155924</v>
      </c>
      <c r="K82" s="62">
        <v>4.3380854209165136</v>
      </c>
      <c r="L82" s="62">
        <v>7.1752810312079224E-2</v>
      </c>
      <c r="M82" s="58">
        <v>10.495251063219358</v>
      </c>
      <c r="N82" s="62">
        <v>7.6892607510295736</v>
      </c>
      <c r="O82" s="62">
        <v>2.7204106687494072</v>
      </c>
      <c r="P82" s="62">
        <v>8.5579643440379979E-2</v>
      </c>
      <c r="Q82" s="58">
        <v>73.163031501374391</v>
      </c>
      <c r="R82" s="62">
        <v>38.739948357596894</v>
      </c>
      <c r="S82" s="62">
        <v>31.208501117378638</v>
      </c>
      <c r="T82" s="62">
        <v>3.2145820263989395</v>
      </c>
    </row>
    <row r="83" spans="1:20" s="19" customFormat="1" ht="14.1" customHeight="1" x14ac:dyDescent="0.25">
      <c r="A83" s="37"/>
      <c r="B83" s="38" t="s">
        <v>218</v>
      </c>
      <c r="C83" s="36">
        <f>'D14'!C83</f>
        <v>0</v>
      </c>
      <c r="D83" s="60">
        <v>6018.5520525365464</v>
      </c>
      <c r="E83" s="61">
        <v>100</v>
      </c>
      <c r="F83" s="58">
        <v>14.610623439681337</v>
      </c>
      <c r="G83" s="62">
        <v>3.6800604725631691</v>
      </c>
      <c r="H83" s="62">
        <v>0.49996220601321228</v>
      </c>
      <c r="I83" s="62">
        <v>1.7904346952409635</v>
      </c>
      <c r="J83" s="62">
        <v>6.5830071946200324</v>
      </c>
      <c r="K83" s="62">
        <v>2.0295489294413609</v>
      </c>
      <c r="L83" s="62">
        <v>2.7609941802615251E-2</v>
      </c>
      <c r="M83" s="58">
        <v>11.93917161278128</v>
      </c>
      <c r="N83" s="62">
        <v>8.6234685680459471</v>
      </c>
      <c r="O83" s="62">
        <v>3.175601509763788</v>
      </c>
      <c r="P83" s="62">
        <v>0.14010153497154124</v>
      </c>
      <c r="Q83" s="58">
        <v>73.450204947537514</v>
      </c>
      <c r="R83" s="62">
        <v>37.885334480410222</v>
      </c>
      <c r="S83" s="62">
        <v>32.614896375293497</v>
      </c>
      <c r="T83" s="62">
        <v>2.949974091833564</v>
      </c>
    </row>
    <row r="84" spans="1:20" s="19" customFormat="1" ht="14.1" customHeight="1" x14ac:dyDescent="0.25">
      <c r="A84" s="37"/>
      <c r="B84" s="38" t="s">
        <v>125</v>
      </c>
      <c r="C84" s="36">
        <f>'D14'!C84</f>
        <v>0</v>
      </c>
      <c r="D84" s="60">
        <v>14232.455247742466</v>
      </c>
      <c r="E84" s="61">
        <v>100</v>
      </c>
      <c r="F84" s="58">
        <v>13.873119388139864</v>
      </c>
      <c r="G84" s="62">
        <v>5.013153101041766</v>
      </c>
      <c r="H84" s="62">
        <v>0.81477106504174945</v>
      </c>
      <c r="I84" s="62">
        <v>1.6385631585661826</v>
      </c>
      <c r="J84" s="62">
        <v>4.8215278123803316</v>
      </c>
      <c r="K84" s="62">
        <v>1.5671170907011498</v>
      </c>
      <c r="L84" s="62">
        <v>1.7987160408683152E-2</v>
      </c>
      <c r="M84" s="58">
        <v>6.9016724310407271</v>
      </c>
      <c r="N84" s="62">
        <v>5.0775497674841636</v>
      </c>
      <c r="O84" s="62">
        <v>1.6088460868015655</v>
      </c>
      <c r="P84" s="62">
        <v>0.21527657675500503</v>
      </c>
      <c r="Q84" s="58">
        <v>79.22520818081874</v>
      </c>
      <c r="R84" s="62">
        <v>48.515473561740677</v>
      </c>
      <c r="S84" s="62">
        <v>29.242214324637409</v>
      </c>
      <c r="T84" s="62">
        <v>1.4675202944407291</v>
      </c>
    </row>
    <row r="85" spans="1:20" s="19" customFormat="1" ht="14.1" customHeight="1" x14ac:dyDescent="0.25">
      <c r="A85" s="37"/>
      <c r="B85" s="38" t="s">
        <v>126</v>
      </c>
      <c r="C85" s="36">
        <f>'D14'!C85</f>
        <v>0</v>
      </c>
      <c r="D85" s="60">
        <v>6582.6581818291206</v>
      </c>
      <c r="E85" s="61">
        <v>100</v>
      </c>
      <c r="F85" s="58">
        <v>12.484320691172137</v>
      </c>
      <c r="G85" s="62">
        <v>6.3373777173215347</v>
      </c>
      <c r="H85" s="62">
        <v>0.49228536586310429</v>
      </c>
      <c r="I85" s="62">
        <v>0.98908112776254364</v>
      </c>
      <c r="J85" s="62">
        <v>3.1647387650834404</v>
      </c>
      <c r="K85" s="62">
        <v>1.4820572774508944</v>
      </c>
      <c r="L85" s="62">
        <v>1.8780437690612023E-2</v>
      </c>
      <c r="M85" s="58">
        <v>10.430878478945814</v>
      </c>
      <c r="N85" s="62">
        <v>8.3993102918530234</v>
      </c>
      <c r="O85" s="62">
        <v>2.0157715897071458</v>
      </c>
      <c r="P85" s="62">
        <v>1.5796597385622172E-2</v>
      </c>
      <c r="Q85" s="58">
        <v>77.084800829882326</v>
      </c>
      <c r="R85" s="62">
        <v>46.934141278741471</v>
      </c>
      <c r="S85" s="62">
        <v>29.455178864975984</v>
      </c>
      <c r="T85" s="62">
        <v>0.69548068616499137</v>
      </c>
    </row>
    <row r="86" spans="1:20" s="19" customFormat="1" ht="14.1" customHeight="1" x14ac:dyDescent="0.25">
      <c r="A86" s="37"/>
      <c r="B86" s="38" t="s">
        <v>127</v>
      </c>
      <c r="C86" s="36">
        <f>'D14'!C86</f>
        <v>0</v>
      </c>
      <c r="D86" s="60">
        <v>1122.6620281066191</v>
      </c>
      <c r="E86" s="61">
        <v>100</v>
      </c>
      <c r="F86" s="58">
        <v>12.677884609813932</v>
      </c>
      <c r="G86" s="62">
        <v>4.1687878369631397</v>
      </c>
      <c r="H86" s="62">
        <v>0.45243230340659391</v>
      </c>
      <c r="I86" s="62">
        <v>0.6664612782404159</v>
      </c>
      <c r="J86" s="62">
        <v>3.7458969936850468</v>
      </c>
      <c r="K86" s="62">
        <v>3.6443061975187421</v>
      </c>
      <c r="L86" s="62">
        <v>0</v>
      </c>
      <c r="M86" s="58">
        <v>7.962664716845234</v>
      </c>
      <c r="N86" s="62">
        <v>5.6503990477097963</v>
      </c>
      <c r="O86" s="62">
        <v>2.3122656691354351</v>
      </c>
      <c r="P86" s="62">
        <v>0</v>
      </c>
      <c r="Q86" s="58">
        <v>79.359450673340916</v>
      </c>
      <c r="R86" s="62">
        <v>48.456285063869373</v>
      </c>
      <c r="S86" s="62">
        <v>30.245407688550834</v>
      </c>
      <c r="T86" s="62">
        <v>0.6577579209208706</v>
      </c>
    </row>
    <row r="87" spans="1:20" s="19" customFormat="1" ht="14.1" customHeight="1" x14ac:dyDescent="0.25">
      <c r="A87" s="37"/>
      <c r="B87" s="38" t="s">
        <v>75</v>
      </c>
      <c r="C87" s="36">
        <f>'D14'!C87</f>
        <v>0</v>
      </c>
      <c r="D87" s="60">
        <v>858.34370485322324</v>
      </c>
      <c r="E87" s="61">
        <v>100</v>
      </c>
      <c r="F87" s="58">
        <v>7.7357001076266583</v>
      </c>
      <c r="G87" s="62">
        <v>2.4196155830058004</v>
      </c>
      <c r="H87" s="62">
        <v>0.81061700692144301</v>
      </c>
      <c r="I87" s="62">
        <v>2.4888035215121578</v>
      </c>
      <c r="J87" s="62">
        <v>1.9940712447683613</v>
      </c>
      <c r="K87" s="62">
        <v>2.2592751418895635E-2</v>
      </c>
      <c r="L87" s="62">
        <v>0</v>
      </c>
      <c r="M87" s="58">
        <v>20.575322779646552</v>
      </c>
      <c r="N87" s="62">
        <v>15.649855418985751</v>
      </c>
      <c r="O87" s="62">
        <v>4.7575134481988277</v>
      </c>
      <c r="P87" s="62">
        <v>0.16795391246191985</v>
      </c>
      <c r="Q87" s="58">
        <v>71.68897711272669</v>
      </c>
      <c r="R87" s="62">
        <v>50.88847637115326</v>
      </c>
      <c r="S87" s="62">
        <v>19.157540176607174</v>
      </c>
      <c r="T87" s="62">
        <v>1.6429605649661498</v>
      </c>
    </row>
    <row r="88" spans="1:20" s="19" customFormat="1" ht="14.1" customHeight="1" x14ac:dyDescent="0.25">
      <c r="A88" s="63"/>
      <c r="B88" s="64"/>
      <c r="C88" s="65"/>
      <c r="D88" s="66"/>
      <c r="E88" s="67"/>
      <c r="F88" s="68"/>
      <c r="G88" s="69"/>
      <c r="H88" s="69"/>
      <c r="I88" s="69"/>
      <c r="J88" s="69"/>
      <c r="K88" s="69"/>
      <c r="L88" s="69"/>
      <c r="M88" s="68"/>
      <c r="N88" s="69"/>
      <c r="O88" s="69"/>
      <c r="P88" s="69"/>
      <c r="Q88" s="68"/>
      <c r="R88" s="69"/>
      <c r="S88" s="69"/>
      <c r="T88" s="69"/>
    </row>
    <row r="89" spans="1:20" s="19" customFormat="1" ht="14.1" customHeight="1" x14ac:dyDescent="0.25">
      <c r="A89" s="30"/>
      <c r="B89" s="70"/>
      <c r="C89" s="108"/>
      <c r="D89" s="145"/>
      <c r="E89" s="110"/>
      <c r="F89" s="72"/>
      <c r="G89" s="71"/>
      <c r="H89" s="71"/>
      <c r="I89" s="71"/>
      <c r="J89" s="71"/>
      <c r="K89" s="71"/>
      <c r="L89" s="71"/>
      <c r="M89" s="72"/>
      <c r="N89" s="71"/>
      <c r="O89" s="71"/>
      <c r="P89" s="71"/>
      <c r="Q89" s="72"/>
      <c r="R89" s="71"/>
      <c r="S89" s="71"/>
      <c r="T89" s="71"/>
    </row>
    <row r="90" spans="1:20" s="19" customFormat="1" ht="14.1" customHeight="1" x14ac:dyDescent="0.25">
      <c r="A90" s="37" t="s">
        <v>62</v>
      </c>
      <c r="B90" s="38"/>
      <c r="C90" s="36" t="s">
        <v>19</v>
      </c>
      <c r="D90" s="60"/>
      <c r="E90" s="61"/>
      <c r="F90" s="58"/>
      <c r="G90" s="62"/>
      <c r="H90" s="62"/>
      <c r="I90" s="62"/>
      <c r="J90" s="62"/>
      <c r="K90" s="62"/>
      <c r="L90" s="62"/>
      <c r="M90" s="58"/>
      <c r="N90" s="62"/>
      <c r="O90" s="62"/>
      <c r="P90" s="62"/>
      <c r="Q90" s="58"/>
      <c r="R90" s="62"/>
      <c r="S90" s="62"/>
      <c r="T90" s="62"/>
    </row>
    <row r="91" spans="1:20" s="19" customFormat="1" ht="14.1" customHeight="1" x14ac:dyDescent="0.25">
      <c r="A91" s="37"/>
      <c r="B91" s="38" t="s">
        <v>129</v>
      </c>
      <c r="C91" s="36"/>
      <c r="D91" s="60">
        <v>48497.790289866956</v>
      </c>
      <c r="E91" s="61">
        <v>100</v>
      </c>
      <c r="F91" s="58">
        <v>14.491191605690895</v>
      </c>
      <c r="G91" s="62">
        <v>3.4415663461016979</v>
      </c>
      <c r="H91" s="62">
        <v>0.22424452832578379</v>
      </c>
      <c r="I91" s="62">
        <v>1.1803516343449871</v>
      </c>
      <c r="J91" s="62">
        <v>7.3362738955906401</v>
      </c>
      <c r="K91" s="62">
        <v>2.2130009849939332</v>
      </c>
      <c r="L91" s="62">
        <v>9.5754216333854517E-2</v>
      </c>
      <c r="M91" s="58">
        <v>11.037128104880075</v>
      </c>
      <c r="N91" s="62">
        <v>5.563694926475991</v>
      </c>
      <c r="O91" s="62">
        <v>5.4734331784040124</v>
      </c>
      <c r="P91" s="62">
        <v>0</v>
      </c>
      <c r="Q91" s="58">
        <v>74.471680289429628</v>
      </c>
      <c r="R91" s="62">
        <v>48.760533170067539</v>
      </c>
      <c r="S91" s="62">
        <v>24.512546342198494</v>
      </c>
      <c r="T91" s="62">
        <v>1.1986007771645197</v>
      </c>
    </row>
    <row r="92" spans="1:20" s="19" customFormat="1" ht="14.1" customHeight="1" x14ac:dyDescent="0.25">
      <c r="A92" s="37"/>
      <c r="B92" s="38" t="s">
        <v>130</v>
      </c>
      <c r="C92" s="36"/>
      <c r="D92" s="60">
        <v>77784.885719112513</v>
      </c>
      <c r="E92" s="61">
        <v>100</v>
      </c>
      <c r="F92" s="58">
        <v>14.682996215285868</v>
      </c>
      <c r="G92" s="62">
        <v>3.6292684319890451</v>
      </c>
      <c r="H92" s="62">
        <v>0.18002423453467867</v>
      </c>
      <c r="I92" s="62">
        <v>1.3496963658256893</v>
      </c>
      <c r="J92" s="62">
        <v>7.290633261974186</v>
      </c>
      <c r="K92" s="62">
        <v>2.1575174698628379</v>
      </c>
      <c r="L92" s="62">
        <v>7.5856451099365285E-2</v>
      </c>
      <c r="M92" s="58">
        <v>11.201490975192632</v>
      </c>
      <c r="N92" s="62">
        <v>6.1518297469855083</v>
      </c>
      <c r="O92" s="62">
        <v>5.0496612282070199</v>
      </c>
      <c r="P92" s="62">
        <v>0</v>
      </c>
      <c r="Q92" s="58">
        <v>74.115512809526706</v>
      </c>
      <c r="R92" s="62">
        <v>47.166937372028663</v>
      </c>
      <c r="S92" s="62">
        <v>24.308054229420279</v>
      </c>
      <c r="T92" s="62">
        <v>2.6405212080792539</v>
      </c>
    </row>
    <row r="93" spans="1:20" s="19" customFormat="1" ht="14.1" customHeight="1" x14ac:dyDescent="0.25">
      <c r="A93" s="37"/>
      <c r="B93" s="38" t="s">
        <v>131</v>
      </c>
      <c r="C93" s="36"/>
      <c r="D93" s="60">
        <v>77234.459131977128</v>
      </c>
      <c r="E93" s="61">
        <v>100</v>
      </c>
      <c r="F93" s="58">
        <v>15.044893136332293</v>
      </c>
      <c r="G93" s="62">
        <v>3.8880633169961567</v>
      </c>
      <c r="H93" s="62">
        <v>0.3011792561161028</v>
      </c>
      <c r="I93" s="62">
        <v>1.5629531606086355</v>
      </c>
      <c r="J93" s="62">
        <v>7.2641306715862779</v>
      </c>
      <c r="K93" s="62">
        <v>1.9252272216049986</v>
      </c>
      <c r="L93" s="62">
        <v>0.10333950942014231</v>
      </c>
      <c r="M93" s="58">
        <v>9.8677137906150794</v>
      </c>
      <c r="N93" s="62">
        <v>5.3675030897523905</v>
      </c>
      <c r="O93" s="62">
        <v>4.5002107008627181</v>
      </c>
      <c r="P93" s="62">
        <v>0</v>
      </c>
      <c r="Q93" s="58">
        <v>75.087393073056589</v>
      </c>
      <c r="R93" s="62">
        <v>47.934681421429254</v>
      </c>
      <c r="S93" s="62">
        <v>25.572949135167313</v>
      </c>
      <c r="T93" s="62">
        <v>1.5797625164574842</v>
      </c>
    </row>
    <row r="94" spans="1:20" s="19" customFormat="1" ht="14.1" customHeight="1" x14ac:dyDescent="0.25">
      <c r="A94" s="37"/>
      <c r="B94" s="38" t="s">
        <v>132</v>
      </c>
      <c r="C94" s="36"/>
      <c r="D94" s="60">
        <v>77750.08099939044</v>
      </c>
      <c r="E94" s="61">
        <v>100</v>
      </c>
      <c r="F94" s="58">
        <v>15.384891892019533</v>
      </c>
      <c r="G94" s="62">
        <v>3.8216005974282679</v>
      </c>
      <c r="H94" s="62">
        <v>0.24202915346820217</v>
      </c>
      <c r="I94" s="62">
        <v>1.4517988846846084</v>
      </c>
      <c r="J94" s="62">
        <v>7.6780005181048026</v>
      </c>
      <c r="K94" s="62">
        <v>2.0438691715785402</v>
      </c>
      <c r="L94" s="62">
        <v>0.14759356675518623</v>
      </c>
      <c r="M94" s="58">
        <v>11.136885539254971</v>
      </c>
      <c r="N94" s="62">
        <v>6.3475032201430377</v>
      </c>
      <c r="O94" s="62">
        <v>4.7893823191118212</v>
      </c>
      <c r="P94" s="62">
        <v>0</v>
      </c>
      <c r="Q94" s="58">
        <v>73.478222568728071</v>
      </c>
      <c r="R94" s="62">
        <v>47.183551408199627</v>
      </c>
      <c r="S94" s="62">
        <v>24.696214804108983</v>
      </c>
      <c r="T94" s="62">
        <v>1.5984563564172229</v>
      </c>
    </row>
    <row r="95" spans="1:20" s="19" customFormat="1" ht="14.1" customHeight="1" x14ac:dyDescent="0.25">
      <c r="A95" s="37"/>
      <c r="B95" s="38" t="s">
        <v>133</v>
      </c>
      <c r="C95" s="36"/>
      <c r="D95" s="60">
        <v>73756.476920130706</v>
      </c>
      <c r="E95" s="61">
        <v>100</v>
      </c>
      <c r="F95" s="58">
        <v>15.554683428544308</v>
      </c>
      <c r="G95" s="62">
        <v>4.2821731206447096</v>
      </c>
      <c r="H95" s="62">
        <v>0.25607069621373602</v>
      </c>
      <c r="I95" s="62">
        <v>1.491880432955581</v>
      </c>
      <c r="J95" s="62">
        <v>7.5671920839365576</v>
      </c>
      <c r="K95" s="62">
        <v>1.8403869973109028</v>
      </c>
      <c r="L95" s="62">
        <v>0.11698009748288032</v>
      </c>
      <c r="M95" s="58">
        <v>11.108468017873497</v>
      </c>
      <c r="N95" s="62">
        <v>6.5094601274774586</v>
      </c>
      <c r="O95" s="62">
        <v>4.5990078903960603</v>
      </c>
      <c r="P95" s="62">
        <v>0</v>
      </c>
      <c r="Q95" s="58">
        <v>73.336502970919923</v>
      </c>
      <c r="R95" s="62">
        <v>47.296570433904499</v>
      </c>
      <c r="S95" s="62">
        <v>24.9616547351308</v>
      </c>
      <c r="T95" s="62">
        <v>1.078277801887557</v>
      </c>
    </row>
    <row r="96" spans="1:20" s="19" customFormat="1" ht="14.1" customHeight="1" x14ac:dyDescent="0.25">
      <c r="A96" s="37"/>
      <c r="B96" s="38" t="s">
        <v>134</v>
      </c>
      <c r="C96" s="36"/>
      <c r="D96" s="60">
        <v>76196.473665121623</v>
      </c>
      <c r="E96" s="61">
        <v>100</v>
      </c>
      <c r="F96" s="58">
        <v>15.752530026905433</v>
      </c>
      <c r="G96" s="62">
        <v>4.5476740171398538</v>
      </c>
      <c r="H96" s="62">
        <v>0.369525719198604</v>
      </c>
      <c r="I96" s="62">
        <v>1.5855942435303074</v>
      </c>
      <c r="J96" s="62">
        <v>7.1589420691260113</v>
      </c>
      <c r="K96" s="62">
        <v>1.9762763298490678</v>
      </c>
      <c r="L96" s="62">
        <v>0.11451764806152864</v>
      </c>
      <c r="M96" s="58">
        <v>10.349887411139012</v>
      </c>
      <c r="N96" s="62">
        <v>6.3524500367785466</v>
      </c>
      <c r="O96" s="62">
        <v>3.9974373743604645</v>
      </c>
      <c r="P96" s="62">
        <v>0</v>
      </c>
      <c r="Q96" s="58">
        <v>73.897582561958345</v>
      </c>
      <c r="R96" s="62">
        <v>47.250305170979018</v>
      </c>
      <c r="S96" s="62">
        <v>25.486253258261026</v>
      </c>
      <c r="T96" s="62">
        <v>1.1610241327179207</v>
      </c>
    </row>
    <row r="97" spans="1:20" s="19" customFormat="1" ht="14.1" customHeight="1" x14ac:dyDescent="0.25">
      <c r="A97" s="37"/>
      <c r="B97" s="38" t="s">
        <v>135</v>
      </c>
      <c r="C97" s="36"/>
      <c r="D97" s="60">
        <v>75823.478944327217</v>
      </c>
      <c r="E97" s="61">
        <v>100</v>
      </c>
      <c r="F97" s="58">
        <v>15.454424084986298</v>
      </c>
      <c r="G97" s="62">
        <v>4.3871782877539234</v>
      </c>
      <c r="H97" s="62">
        <v>0.34305080907776919</v>
      </c>
      <c r="I97" s="62">
        <v>1.7558894206827635</v>
      </c>
      <c r="J97" s="62">
        <v>7.0301694362727192</v>
      </c>
      <c r="K97" s="62">
        <v>1.7439332726131516</v>
      </c>
      <c r="L97" s="62">
        <v>0.19420285858593839</v>
      </c>
      <c r="M97" s="58">
        <v>10.202796413283865</v>
      </c>
      <c r="N97" s="62">
        <v>6.3281235554802375</v>
      </c>
      <c r="O97" s="62">
        <v>3.8746728578036569</v>
      </c>
      <c r="P97" s="62">
        <v>0</v>
      </c>
      <c r="Q97" s="58">
        <v>74.342565355191283</v>
      </c>
      <c r="R97" s="62">
        <v>48.404795768567759</v>
      </c>
      <c r="S97" s="62">
        <v>24.804140357201607</v>
      </c>
      <c r="T97" s="62">
        <v>1.1336292294228056</v>
      </c>
    </row>
    <row r="98" spans="1:20" s="19" customFormat="1" ht="14.1" customHeight="1" x14ac:dyDescent="0.25">
      <c r="A98" s="37"/>
      <c r="B98" s="38" t="s">
        <v>136</v>
      </c>
      <c r="C98" s="36"/>
      <c r="D98" s="60">
        <v>77452.086061240581</v>
      </c>
      <c r="E98" s="61">
        <v>100</v>
      </c>
      <c r="F98" s="58">
        <v>15.83468454505711</v>
      </c>
      <c r="G98" s="62">
        <v>4.728701927231687</v>
      </c>
      <c r="H98" s="62">
        <v>0.39502937040331754</v>
      </c>
      <c r="I98" s="62">
        <v>1.4298236192051277</v>
      </c>
      <c r="J98" s="62">
        <v>7.4948759631978703</v>
      </c>
      <c r="K98" s="62">
        <v>1.6069701401379801</v>
      </c>
      <c r="L98" s="62">
        <v>0.17928352488100033</v>
      </c>
      <c r="M98" s="58">
        <v>10.350436369258706</v>
      </c>
      <c r="N98" s="62">
        <v>6.1931520044410497</v>
      </c>
      <c r="O98" s="62">
        <v>4.1572843648175599</v>
      </c>
      <c r="P98" s="62">
        <v>0</v>
      </c>
      <c r="Q98" s="58">
        <v>73.815241212779128</v>
      </c>
      <c r="R98" s="62">
        <v>48.004885530385479</v>
      </c>
      <c r="S98" s="62">
        <v>24.757836636701949</v>
      </c>
      <c r="T98" s="62">
        <v>1.0525190456927649</v>
      </c>
    </row>
    <row r="99" spans="1:20" s="19" customFormat="1" ht="14.1" customHeight="1" x14ac:dyDescent="0.25">
      <c r="A99" s="37"/>
      <c r="B99" s="38" t="s">
        <v>192</v>
      </c>
      <c r="C99" s="36"/>
      <c r="D99" s="60">
        <v>71957.394627974936</v>
      </c>
      <c r="E99" s="61">
        <v>100</v>
      </c>
      <c r="F99" s="58">
        <v>13.658704423157845</v>
      </c>
      <c r="G99" s="62">
        <v>4.0340602103086098</v>
      </c>
      <c r="H99" s="62">
        <v>0.51193539677057742</v>
      </c>
      <c r="I99" s="62">
        <v>1.3394565617001726</v>
      </c>
      <c r="J99" s="62">
        <v>5.9415372097391348</v>
      </c>
      <c r="K99" s="62">
        <v>1.6694442482215233</v>
      </c>
      <c r="L99" s="62">
        <v>0.16227079641779069</v>
      </c>
      <c r="M99" s="58">
        <v>11.620257583109057</v>
      </c>
      <c r="N99" s="62">
        <v>8.4949731118586627</v>
      </c>
      <c r="O99" s="62">
        <v>3.1252844712503753</v>
      </c>
      <c r="P99" s="62">
        <v>0</v>
      </c>
      <c r="Q99" s="58">
        <v>74.721037993733688</v>
      </c>
      <c r="R99" s="62">
        <v>46.58035878769202</v>
      </c>
      <c r="S99" s="62">
        <v>26.774436881845883</v>
      </c>
      <c r="T99" s="62">
        <v>1.3662423241961055</v>
      </c>
    </row>
    <row r="100" spans="1:20" s="19" customFormat="1" ht="14.1" customHeight="1" x14ac:dyDescent="0.25">
      <c r="A100" s="37"/>
      <c r="B100" s="38" t="s">
        <v>194</v>
      </c>
      <c r="C100" s="36"/>
      <c r="D100" s="60">
        <v>70595.873048734647</v>
      </c>
      <c r="E100" s="61">
        <v>100</v>
      </c>
      <c r="F100" s="58">
        <v>12.519031657733013</v>
      </c>
      <c r="G100" s="62">
        <v>3.7594934161567966</v>
      </c>
      <c r="H100" s="62">
        <v>0.3007716383695902</v>
      </c>
      <c r="I100" s="62">
        <v>1.1820405509848251</v>
      </c>
      <c r="J100" s="62">
        <v>4.8460367811333356</v>
      </c>
      <c r="K100" s="62">
        <v>2.3746272725631195</v>
      </c>
      <c r="L100" s="62">
        <v>5.6061998525400614E-2</v>
      </c>
      <c r="M100" s="58">
        <v>12.747024977600358</v>
      </c>
      <c r="N100" s="62">
        <v>9.5006548350133233</v>
      </c>
      <c r="O100" s="62">
        <v>2.9096148508841129</v>
      </c>
      <c r="P100" s="62">
        <v>0.33675529170284585</v>
      </c>
      <c r="Q100" s="58">
        <v>74.733943364664555</v>
      </c>
      <c r="R100" s="62">
        <v>47.121970145753444</v>
      </c>
      <c r="S100" s="62">
        <v>25.973386641359877</v>
      </c>
      <c r="T100" s="62">
        <v>1.6385865775505413</v>
      </c>
    </row>
    <row r="101" spans="1:20" s="19" customFormat="1" ht="14.1" customHeight="1" x14ac:dyDescent="0.25">
      <c r="A101" s="37"/>
      <c r="B101" s="38" t="s">
        <v>205</v>
      </c>
      <c r="C101" s="36"/>
      <c r="D101" s="60">
        <f t="shared" ref="D101:T101" si="0">D$9</f>
        <v>64963.630763549656</v>
      </c>
      <c r="E101" s="61">
        <f t="shared" si="0"/>
        <v>100</v>
      </c>
      <c r="F101" s="58">
        <f t="shared" si="0"/>
        <v>12.996964749536808</v>
      </c>
      <c r="G101" s="62">
        <f t="shared" si="0"/>
        <v>4.2633395944044112</v>
      </c>
      <c r="H101" s="62">
        <f t="shared" si="0"/>
        <v>0.60174200527455546</v>
      </c>
      <c r="I101" s="62">
        <f t="shared" si="0"/>
        <v>1.4463852580384515</v>
      </c>
      <c r="J101" s="62">
        <f t="shared" si="0"/>
        <v>4.8904371685680212</v>
      </c>
      <c r="K101" s="62">
        <f t="shared" si="0"/>
        <v>1.7080557704329569</v>
      </c>
      <c r="L101" s="62">
        <f t="shared" si="0"/>
        <v>8.7004952818321393E-2</v>
      </c>
      <c r="M101" s="58">
        <f t="shared" si="0"/>
        <v>10.670679819666768</v>
      </c>
      <c r="N101" s="62">
        <f t="shared" si="0"/>
        <v>7.8938433656781388</v>
      </c>
      <c r="O101" s="62">
        <f t="shared" si="0"/>
        <v>2.6034487772344885</v>
      </c>
      <c r="P101" s="62">
        <f t="shared" si="0"/>
        <v>0.17338767675413719</v>
      </c>
      <c r="Q101" s="58">
        <f t="shared" si="0"/>
        <v>76.332355430795786</v>
      </c>
      <c r="R101" s="62">
        <f t="shared" si="0"/>
        <v>46.21177272025222</v>
      </c>
      <c r="S101" s="62">
        <f t="shared" si="0"/>
        <v>28.263388748253913</v>
      </c>
      <c r="T101" s="62">
        <f t="shared" si="0"/>
        <v>1.857193962285731</v>
      </c>
    </row>
    <row r="102" spans="1:20" s="151" customFormat="1" ht="3.75" customHeight="1" x14ac:dyDescent="0.25">
      <c r="A102" s="39"/>
      <c r="B102" s="40"/>
      <c r="C102" s="82"/>
      <c r="D102" s="147"/>
      <c r="E102" s="148"/>
      <c r="F102" s="149"/>
      <c r="G102" s="150"/>
      <c r="H102" s="150"/>
      <c r="I102" s="150"/>
      <c r="J102" s="150"/>
      <c r="K102" s="150"/>
      <c r="L102" s="150"/>
      <c r="M102" s="149"/>
      <c r="N102" s="150"/>
      <c r="O102" s="150"/>
      <c r="P102" s="150"/>
      <c r="Q102" s="149"/>
      <c r="R102" s="150"/>
      <c r="S102" s="150"/>
      <c r="T102" s="150"/>
    </row>
  </sheetData>
  <mergeCells count="19">
    <mergeCell ref="P7:P8"/>
    <mergeCell ref="R7:R8"/>
    <mergeCell ref="Q6:Q8"/>
    <mergeCell ref="Q2:V2"/>
    <mergeCell ref="A5:C8"/>
    <mergeCell ref="E5:E8"/>
    <mergeCell ref="F6:F8"/>
    <mergeCell ref="S7:S8"/>
    <mergeCell ref="G7:G8"/>
    <mergeCell ref="H7:H8"/>
    <mergeCell ref="I7:I8"/>
    <mergeCell ref="J7:J8"/>
    <mergeCell ref="K7:K8"/>
    <mergeCell ref="M6:M8"/>
    <mergeCell ref="L7:L8"/>
    <mergeCell ref="T7:T8"/>
    <mergeCell ref="D5:D8"/>
    <mergeCell ref="N7:N8"/>
    <mergeCell ref="O7:O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56" max="16383" man="1"/>
  </rowBreaks>
  <colBreaks count="1" manualBreakCount="1">
    <brk id="12" max="108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8344-99E5-4C45-A9D1-9C0705A2DBD7}">
  <sheetPr codeName="工作表68"/>
  <dimension ref="A1:T98"/>
  <sheetViews>
    <sheetView showGridLines="0" view="pageBreakPreview" zoomScale="85" zoomScaleNormal="70" zoomScaleSheetLayoutView="85" workbookViewId="0">
      <selection activeCell="R25" sqref="R25"/>
    </sheetView>
  </sheetViews>
  <sheetFormatPr defaultColWidth="9" defaultRowHeight="11.1" customHeight="1" x14ac:dyDescent="0.25"/>
  <cols>
    <col min="1" max="1" width="0.75" style="18" customWidth="1"/>
    <col min="2" max="2" width="15" style="44" customWidth="1"/>
    <col min="3" max="3" width="1.125" style="45" customWidth="1"/>
    <col min="4" max="4" width="9.125" style="46" customWidth="1"/>
    <col min="5" max="20" width="9.125" style="47" customWidth="1"/>
    <col min="21" max="16384" width="9" style="46"/>
  </cols>
  <sheetData>
    <row r="1" spans="1:20" s="14" customFormat="1" ht="22.15" customHeight="1" x14ac:dyDescent="0.25">
      <c r="A1" s="49"/>
      <c r="B1" s="49"/>
      <c r="C1" s="49"/>
      <c r="D1" s="49"/>
      <c r="E1" s="21" t="s">
        <v>275</v>
      </c>
      <c r="F1" s="50" t="s">
        <v>189</v>
      </c>
      <c r="G1" s="49"/>
      <c r="H1" s="49"/>
      <c r="I1" s="49"/>
      <c r="J1" s="49"/>
      <c r="K1" s="17"/>
      <c r="L1" s="22"/>
      <c r="M1" s="50" t="s">
        <v>279</v>
      </c>
      <c r="N1" s="17"/>
      <c r="Q1" s="50"/>
      <c r="R1" s="17"/>
      <c r="S1" s="17"/>
      <c r="T1" s="17"/>
    </row>
    <row r="2" spans="1:20" s="14" customFormat="1" ht="16.149999999999999" customHeight="1" x14ac:dyDescent="0.25">
      <c r="A2" s="22"/>
      <c r="B2" s="22"/>
      <c r="C2" s="22"/>
      <c r="D2" s="22"/>
      <c r="E2" s="22"/>
      <c r="F2" s="10" t="s">
        <v>280</v>
      </c>
      <c r="G2" s="22"/>
      <c r="H2" s="22"/>
      <c r="I2" s="22"/>
      <c r="J2" s="22"/>
      <c r="K2" s="17"/>
      <c r="L2" s="22"/>
      <c r="M2" s="10" t="s">
        <v>280</v>
      </c>
      <c r="N2" s="17"/>
      <c r="Q2" s="10"/>
      <c r="R2" s="17"/>
      <c r="S2" s="17"/>
      <c r="T2" s="17"/>
    </row>
    <row r="3" spans="1:20" s="19" customFormat="1" ht="13.5" customHeight="1" x14ac:dyDescent="0.25">
      <c r="B3" s="48"/>
      <c r="C3" s="48"/>
      <c r="D3" s="48"/>
      <c r="E3" s="45" t="s">
        <v>190</v>
      </c>
      <c r="F3" s="19" t="s">
        <v>191</v>
      </c>
      <c r="G3" s="48"/>
      <c r="H3" s="48"/>
      <c r="I3" s="48"/>
      <c r="J3" s="48"/>
      <c r="L3" s="48"/>
      <c r="M3" s="19" t="s">
        <v>191</v>
      </c>
    </row>
    <row r="4" spans="1:20" s="28" customFormat="1" ht="13.5" x14ac:dyDescent="0.25">
      <c r="A4" s="24"/>
      <c r="B4" s="24"/>
      <c r="C4" s="24"/>
      <c r="D4" s="25"/>
      <c r="E4" s="26"/>
      <c r="F4" s="26"/>
      <c r="G4" s="26"/>
      <c r="H4" s="27"/>
      <c r="I4" s="27"/>
      <c r="J4" s="27"/>
      <c r="K4" s="27"/>
      <c r="L4" s="76" t="s">
        <v>160</v>
      </c>
      <c r="M4" s="27"/>
      <c r="N4" s="27"/>
      <c r="P4" s="76"/>
      <c r="Q4" s="27"/>
      <c r="R4" s="27"/>
      <c r="S4" s="27"/>
      <c r="T4" s="76" t="s">
        <v>160</v>
      </c>
    </row>
    <row r="5" spans="1:20" s="19" customFormat="1" ht="6" customHeight="1" x14ac:dyDescent="0.25">
      <c r="A5" s="258" t="s">
        <v>21</v>
      </c>
      <c r="B5" s="258"/>
      <c r="C5" s="259"/>
      <c r="D5" s="259" t="s">
        <v>312</v>
      </c>
      <c r="E5" s="264" t="s">
        <v>81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s="19" customFormat="1" ht="6.75" customHeight="1" x14ac:dyDescent="0.25">
      <c r="A6" s="260"/>
      <c r="B6" s="260"/>
      <c r="C6" s="261"/>
      <c r="D6" s="261"/>
      <c r="E6" s="265"/>
      <c r="F6" s="287" t="s">
        <v>177</v>
      </c>
      <c r="G6" s="52"/>
      <c r="H6" s="52"/>
      <c r="I6" s="52"/>
      <c r="J6" s="52"/>
      <c r="K6" s="52"/>
      <c r="M6" s="290" t="s">
        <v>89</v>
      </c>
      <c r="N6" s="53"/>
      <c r="O6" s="53"/>
      <c r="P6" s="53"/>
      <c r="Q6" s="290" t="s">
        <v>90</v>
      </c>
      <c r="R6" s="53"/>
      <c r="S6" s="53"/>
      <c r="T6" s="53"/>
    </row>
    <row r="7" spans="1:20" s="19" customFormat="1" ht="11.25" customHeight="1" x14ac:dyDescent="0.25">
      <c r="A7" s="260"/>
      <c r="B7" s="260"/>
      <c r="C7" s="261"/>
      <c r="D7" s="261"/>
      <c r="E7" s="265"/>
      <c r="F7" s="288"/>
      <c r="G7" s="270" t="s">
        <v>14</v>
      </c>
      <c r="H7" s="270" t="s">
        <v>15</v>
      </c>
      <c r="I7" s="270" t="s">
        <v>13</v>
      </c>
      <c r="J7" s="270" t="s">
        <v>229</v>
      </c>
      <c r="K7" s="270" t="s">
        <v>228</v>
      </c>
      <c r="L7" s="270" t="s">
        <v>230</v>
      </c>
      <c r="M7" s="288"/>
      <c r="N7" s="270" t="s">
        <v>16</v>
      </c>
      <c r="O7" s="270" t="s">
        <v>231</v>
      </c>
      <c r="P7" s="272" t="s">
        <v>197</v>
      </c>
      <c r="Q7" s="288"/>
      <c r="R7" s="270" t="s">
        <v>17</v>
      </c>
      <c r="S7" s="270" t="s">
        <v>18</v>
      </c>
      <c r="T7" s="272" t="s">
        <v>196</v>
      </c>
    </row>
    <row r="8" spans="1:20" s="19" customFormat="1" ht="28.5" customHeight="1" x14ac:dyDescent="0.25">
      <c r="A8" s="262"/>
      <c r="B8" s="262"/>
      <c r="C8" s="263"/>
      <c r="D8" s="263"/>
      <c r="E8" s="266"/>
      <c r="F8" s="289"/>
      <c r="G8" s="271" t="s">
        <v>64</v>
      </c>
      <c r="H8" s="271" t="s">
        <v>66</v>
      </c>
      <c r="I8" s="271" t="s">
        <v>65</v>
      </c>
      <c r="J8" s="271" t="s">
        <v>68</v>
      </c>
      <c r="K8" s="271"/>
      <c r="L8" s="271" t="s">
        <v>67</v>
      </c>
      <c r="M8" s="289"/>
      <c r="N8" s="271"/>
      <c r="O8" s="271"/>
      <c r="P8" s="273"/>
      <c r="Q8" s="289"/>
      <c r="R8" s="271"/>
      <c r="S8" s="271"/>
      <c r="T8" s="273"/>
    </row>
    <row r="9" spans="1:20" s="18" customFormat="1" ht="12.6" customHeight="1" x14ac:dyDescent="0.25">
      <c r="A9" s="33" t="s">
        <v>22</v>
      </c>
      <c r="B9" s="54"/>
      <c r="C9" s="55"/>
      <c r="D9" s="56">
        <v>32114.971771890407</v>
      </c>
      <c r="E9" s="57">
        <v>100</v>
      </c>
      <c r="F9" s="58">
        <v>14.504736187809653</v>
      </c>
      <c r="G9" s="58">
        <v>5.7627253071119187</v>
      </c>
      <c r="H9" s="58">
        <v>0.32958865102767498</v>
      </c>
      <c r="I9" s="58">
        <v>1.4871903075746191</v>
      </c>
      <c r="J9" s="58">
        <v>5.8381039073281995</v>
      </c>
      <c r="K9" s="58">
        <v>1.0109053483542738</v>
      </c>
      <c r="L9" s="58">
        <v>7.6222666412843351E-2</v>
      </c>
      <c r="M9" s="58">
        <v>4.5559896225855887</v>
      </c>
      <c r="N9" s="58">
        <v>2.7031163028619818</v>
      </c>
      <c r="O9" s="58">
        <v>1.6560966283235794</v>
      </c>
      <c r="P9" s="58">
        <v>0.19677669140001616</v>
      </c>
      <c r="Q9" s="58">
        <v>80.939274189605584</v>
      </c>
      <c r="R9" s="58">
        <v>49.585619370858183</v>
      </c>
      <c r="S9" s="58">
        <v>29.440381464300472</v>
      </c>
      <c r="T9" s="58">
        <v>1.9132733544462419</v>
      </c>
    </row>
    <row r="10" spans="1:20" s="19" customFormat="1" ht="12.6" customHeight="1" x14ac:dyDescent="0.25">
      <c r="A10" s="37" t="s">
        <v>23</v>
      </c>
      <c r="B10" s="38"/>
      <c r="C10" s="36" t="str">
        <f>'D14'!C10</f>
        <v>***</v>
      </c>
      <c r="D10" s="60"/>
      <c r="E10" s="61"/>
      <c r="F10" s="58"/>
      <c r="G10" s="62"/>
      <c r="H10" s="62"/>
      <c r="I10" s="62"/>
      <c r="J10" s="62"/>
      <c r="K10" s="62"/>
      <c r="L10" s="62"/>
      <c r="M10" s="58"/>
      <c r="N10" s="62"/>
      <c r="O10" s="62"/>
      <c r="P10" s="62"/>
      <c r="Q10" s="58"/>
      <c r="R10" s="62"/>
      <c r="S10" s="62"/>
      <c r="T10" s="62"/>
    </row>
    <row r="11" spans="1:20" s="19" customFormat="1" ht="12.6" customHeight="1" x14ac:dyDescent="0.25">
      <c r="A11" s="37"/>
      <c r="B11" s="38" t="s">
        <v>24</v>
      </c>
      <c r="C11" s="36">
        <f>'D14'!C11</f>
        <v>0</v>
      </c>
      <c r="D11" s="60">
        <v>5906.7609331408139</v>
      </c>
      <c r="E11" s="61">
        <v>100</v>
      </c>
      <c r="F11" s="58">
        <v>28.817577787698255</v>
      </c>
      <c r="G11" s="62">
        <v>15.414901995280873</v>
      </c>
      <c r="H11" s="62">
        <v>2.6677519683727363E-2</v>
      </c>
      <c r="I11" s="62">
        <v>1.9571359782961566</v>
      </c>
      <c r="J11" s="62">
        <v>8.1586233548994489</v>
      </c>
      <c r="K11" s="62">
        <v>3.2602389395380333</v>
      </c>
      <c r="L11" s="62">
        <v>0</v>
      </c>
      <c r="M11" s="58">
        <v>3.6364101158920605</v>
      </c>
      <c r="N11" s="62">
        <v>2.8907220078324549</v>
      </c>
      <c r="O11" s="62">
        <v>0.51699477517240899</v>
      </c>
      <c r="P11" s="62">
        <v>0.22869333288719651</v>
      </c>
      <c r="Q11" s="58">
        <v>67.546012096409584</v>
      </c>
      <c r="R11" s="62">
        <v>46.808506787992336</v>
      </c>
      <c r="S11" s="62">
        <v>20.248222210686347</v>
      </c>
      <c r="T11" s="62">
        <v>0.48928309773096534</v>
      </c>
    </row>
    <row r="12" spans="1:20" s="19" customFormat="1" ht="12.6" customHeight="1" x14ac:dyDescent="0.25">
      <c r="A12" s="37"/>
      <c r="B12" s="38" t="s">
        <v>25</v>
      </c>
      <c r="C12" s="36">
        <f>'D14'!C12</f>
        <v>0</v>
      </c>
      <c r="D12" s="60">
        <v>3320.9710470956102</v>
      </c>
      <c r="E12" s="61">
        <v>100</v>
      </c>
      <c r="F12" s="58">
        <v>39.633533412537979</v>
      </c>
      <c r="G12" s="62">
        <v>23.31570284874773</v>
      </c>
      <c r="H12" s="62">
        <v>0.20282768265617385</v>
      </c>
      <c r="I12" s="62">
        <v>0.85278723237438303</v>
      </c>
      <c r="J12" s="62">
        <v>12.859558638928783</v>
      </c>
      <c r="K12" s="62">
        <v>2.4026570098309694</v>
      </c>
      <c r="L12" s="62">
        <v>0</v>
      </c>
      <c r="M12" s="58">
        <v>10.665299838684758</v>
      </c>
      <c r="N12" s="62">
        <v>7.4883376301672904</v>
      </c>
      <c r="O12" s="62">
        <v>3.1401197557152938</v>
      </c>
      <c r="P12" s="62">
        <v>3.6842452802169433E-2</v>
      </c>
      <c r="Q12" s="58">
        <v>49.701166748777105</v>
      </c>
      <c r="R12" s="62">
        <v>27.405564650801207</v>
      </c>
      <c r="S12" s="62">
        <v>21.295235095496096</v>
      </c>
      <c r="T12" s="62">
        <v>1.0003670024798099</v>
      </c>
    </row>
    <row r="13" spans="1:20" s="19" customFormat="1" ht="12.6" customHeight="1" x14ac:dyDescent="0.25">
      <c r="A13" s="37"/>
      <c r="B13" s="38" t="s">
        <v>26</v>
      </c>
      <c r="C13" s="36">
        <f>'D14'!C13</f>
        <v>0</v>
      </c>
      <c r="D13" s="60">
        <v>3483.2755308563701</v>
      </c>
      <c r="E13" s="61">
        <v>100</v>
      </c>
      <c r="F13" s="58">
        <v>12.478019713213257</v>
      </c>
      <c r="G13" s="62">
        <v>1.6841612338090888</v>
      </c>
      <c r="H13" s="62">
        <v>0.38178473718113309</v>
      </c>
      <c r="I13" s="62">
        <v>2.4862082508449297</v>
      </c>
      <c r="J13" s="62">
        <v>7.4530877692457702</v>
      </c>
      <c r="K13" s="62">
        <v>0.47277772213233576</v>
      </c>
      <c r="L13" s="62">
        <v>0</v>
      </c>
      <c r="M13" s="58">
        <v>4.6089408248707882</v>
      </c>
      <c r="N13" s="62">
        <v>2.3202550987079804</v>
      </c>
      <c r="O13" s="62">
        <v>2.0589331180875003</v>
      </c>
      <c r="P13" s="62">
        <v>0.22975260807530701</v>
      </c>
      <c r="Q13" s="58">
        <v>82.9130394619161</v>
      </c>
      <c r="R13" s="62">
        <v>47.938222383477516</v>
      </c>
      <c r="S13" s="62">
        <v>33.650105309965788</v>
      </c>
      <c r="T13" s="62">
        <v>1.3247117684731151</v>
      </c>
    </row>
    <row r="14" spans="1:20" s="19" customFormat="1" ht="12.6" customHeight="1" x14ac:dyDescent="0.25">
      <c r="A14" s="37"/>
      <c r="B14" s="38" t="s">
        <v>27</v>
      </c>
      <c r="C14" s="36">
        <f>'D14'!C14</f>
        <v>0</v>
      </c>
      <c r="D14" s="60">
        <v>3785.8766890675511</v>
      </c>
      <c r="E14" s="61">
        <v>100</v>
      </c>
      <c r="F14" s="58">
        <v>6.3090986295590552</v>
      </c>
      <c r="G14" s="62">
        <v>0.15697123051598608</v>
      </c>
      <c r="H14" s="62">
        <v>0</v>
      </c>
      <c r="I14" s="62">
        <v>0.37142382994560164</v>
      </c>
      <c r="J14" s="62">
        <v>5.6331261912925452</v>
      </c>
      <c r="K14" s="62">
        <v>0.14757737780491942</v>
      </c>
      <c r="L14" s="62">
        <v>0</v>
      </c>
      <c r="M14" s="58">
        <v>4.4454285943216814</v>
      </c>
      <c r="N14" s="62">
        <v>2.8188138645652887</v>
      </c>
      <c r="O14" s="62">
        <v>1.3768774191254001</v>
      </c>
      <c r="P14" s="62">
        <v>0.24973731063099489</v>
      </c>
      <c r="Q14" s="58">
        <v>89.245472776119385</v>
      </c>
      <c r="R14" s="62">
        <v>53.32249877958138</v>
      </c>
      <c r="S14" s="62">
        <v>34.904909851722351</v>
      </c>
      <c r="T14" s="62">
        <v>1.0180641448156986</v>
      </c>
    </row>
    <row r="15" spans="1:20" s="19" customFormat="1" ht="12.6" customHeight="1" x14ac:dyDescent="0.25">
      <c r="A15" s="37"/>
      <c r="B15" s="38" t="s">
        <v>28</v>
      </c>
      <c r="C15" s="36">
        <f>'D14'!C15</f>
        <v>0</v>
      </c>
      <c r="D15" s="60">
        <v>2685.2630901535808</v>
      </c>
      <c r="E15" s="61">
        <v>100</v>
      </c>
      <c r="F15" s="58">
        <v>3.139298253320614</v>
      </c>
      <c r="G15" s="62">
        <v>0</v>
      </c>
      <c r="H15" s="62">
        <v>4.0622702113232066E-2</v>
      </c>
      <c r="I15" s="62">
        <v>1.2259325226375919</v>
      </c>
      <c r="J15" s="62">
        <v>1.8323508017324981</v>
      </c>
      <c r="K15" s="62">
        <v>4.0392226837290733E-2</v>
      </c>
      <c r="L15" s="62">
        <v>0</v>
      </c>
      <c r="M15" s="58">
        <v>3.1429914279715483</v>
      </c>
      <c r="N15" s="62">
        <v>0.39802493731025596</v>
      </c>
      <c r="O15" s="62">
        <v>2.14736108919625</v>
      </c>
      <c r="P15" s="62">
        <v>0.59760540146504104</v>
      </c>
      <c r="Q15" s="58">
        <v>93.717710318707404</v>
      </c>
      <c r="R15" s="62">
        <v>59.946441996835404</v>
      </c>
      <c r="S15" s="62">
        <v>30.937933882409329</v>
      </c>
      <c r="T15" s="62">
        <v>2.8333344394624116</v>
      </c>
    </row>
    <row r="16" spans="1:20" s="19" customFormat="1" ht="12.6" customHeight="1" x14ac:dyDescent="0.25">
      <c r="A16" s="37"/>
      <c r="B16" s="38" t="s">
        <v>29</v>
      </c>
      <c r="C16" s="36">
        <f>'D14'!C16</f>
        <v>0</v>
      </c>
      <c r="D16" s="60">
        <v>3773.6844423994507</v>
      </c>
      <c r="E16" s="61">
        <v>100</v>
      </c>
      <c r="F16" s="58">
        <v>8.6422263721259398</v>
      </c>
      <c r="G16" s="62">
        <v>2.6374968162184937</v>
      </c>
      <c r="H16" s="62">
        <v>1.7476542049566757</v>
      </c>
      <c r="I16" s="62">
        <v>1.5444847345278303</v>
      </c>
      <c r="J16" s="62">
        <v>1.9973265638074542</v>
      </c>
      <c r="K16" s="62">
        <v>9.3619651031455003E-2</v>
      </c>
      <c r="L16" s="62">
        <v>0.62164440158402856</v>
      </c>
      <c r="M16" s="58">
        <v>2.9828090104400955</v>
      </c>
      <c r="N16" s="62">
        <v>1.4071171693748885</v>
      </c>
      <c r="O16" s="62">
        <v>1.4049332672335821</v>
      </c>
      <c r="P16" s="62">
        <v>0.17075857383162418</v>
      </c>
      <c r="Q16" s="58">
        <v>88.374964617433903</v>
      </c>
      <c r="R16" s="62">
        <v>61.976959488303137</v>
      </c>
      <c r="S16" s="62">
        <v>24.269875833045788</v>
      </c>
      <c r="T16" s="62">
        <v>2.1281292960849649</v>
      </c>
    </row>
    <row r="17" spans="1:20" s="19" customFormat="1" ht="12.6" customHeight="1" x14ac:dyDescent="0.25">
      <c r="A17" s="37"/>
      <c r="B17" s="38" t="s">
        <v>30</v>
      </c>
      <c r="C17" s="36">
        <f>'D14'!C17</f>
        <v>0</v>
      </c>
      <c r="D17" s="60">
        <v>564.31555567830628</v>
      </c>
      <c r="E17" s="61">
        <v>100</v>
      </c>
      <c r="F17" s="58">
        <v>6.9394954053619653</v>
      </c>
      <c r="G17" s="62">
        <v>0</v>
      </c>
      <c r="H17" s="62">
        <v>0.16198599788477419</v>
      </c>
      <c r="I17" s="62">
        <v>1.6262239555837743</v>
      </c>
      <c r="J17" s="62">
        <v>5.1512854518934166</v>
      </c>
      <c r="K17" s="62">
        <v>0</v>
      </c>
      <c r="L17" s="62">
        <v>0</v>
      </c>
      <c r="M17" s="58">
        <v>2.5101074393953904</v>
      </c>
      <c r="N17" s="62">
        <v>0.73128373544369396</v>
      </c>
      <c r="O17" s="62">
        <v>1.5583268356675157</v>
      </c>
      <c r="P17" s="62">
        <v>0.22049686828417994</v>
      </c>
      <c r="Q17" s="58">
        <v>90.550397155242592</v>
      </c>
      <c r="R17" s="62">
        <v>46.746682269659487</v>
      </c>
      <c r="S17" s="62">
        <v>41.98359105380392</v>
      </c>
      <c r="T17" s="62">
        <v>1.8201238317793367</v>
      </c>
    </row>
    <row r="18" spans="1:20" s="19" customFormat="1" ht="12.6" customHeight="1" x14ac:dyDescent="0.25">
      <c r="A18" s="37"/>
      <c r="B18" s="38" t="s">
        <v>31</v>
      </c>
      <c r="C18" s="36">
        <f>'D14'!C18</f>
        <v>0</v>
      </c>
      <c r="D18" s="60">
        <v>891.33821781809331</v>
      </c>
      <c r="E18" s="61">
        <v>100</v>
      </c>
      <c r="F18" s="58">
        <v>6.4404314871726633</v>
      </c>
      <c r="G18" s="62">
        <v>2.8539715524486683E-2</v>
      </c>
      <c r="H18" s="62">
        <v>0.52445835733495816</v>
      </c>
      <c r="I18" s="62">
        <v>1.0618921550133522</v>
      </c>
      <c r="J18" s="62">
        <v>2.7253553856791095</v>
      </c>
      <c r="K18" s="62">
        <v>2.1001858736207635</v>
      </c>
      <c r="L18" s="62">
        <v>0</v>
      </c>
      <c r="M18" s="58">
        <v>4.07047697006952</v>
      </c>
      <c r="N18" s="62">
        <v>3.6667008382585822</v>
      </c>
      <c r="O18" s="62">
        <v>0.40377613181093741</v>
      </c>
      <c r="P18" s="62">
        <v>0</v>
      </c>
      <c r="Q18" s="58">
        <v>89.48909154275799</v>
      </c>
      <c r="R18" s="62">
        <v>47.995583500947653</v>
      </c>
      <c r="S18" s="62">
        <v>40.414944601065869</v>
      </c>
      <c r="T18" s="62">
        <v>1.0785634407442053</v>
      </c>
    </row>
    <row r="19" spans="1:20" s="19" customFormat="1" ht="12.6" customHeight="1" x14ac:dyDescent="0.25">
      <c r="A19" s="37"/>
      <c r="B19" s="38" t="s">
        <v>32</v>
      </c>
      <c r="C19" s="36">
        <f>'D14'!C19</f>
        <v>0</v>
      </c>
      <c r="D19" s="60">
        <v>673.99474373529449</v>
      </c>
      <c r="E19" s="61">
        <v>100</v>
      </c>
      <c r="F19" s="58">
        <v>8.0259794228016723</v>
      </c>
      <c r="G19" s="62">
        <v>0</v>
      </c>
      <c r="H19" s="62">
        <v>0.10567722937607608</v>
      </c>
      <c r="I19" s="62">
        <v>3.062606648156339</v>
      </c>
      <c r="J19" s="62">
        <v>4.8576955452692623</v>
      </c>
      <c r="K19" s="62">
        <v>0</v>
      </c>
      <c r="L19" s="62">
        <v>0</v>
      </c>
      <c r="M19" s="58">
        <v>3.0483812277019862</v>
      </c>
      <c r="N19" s="62">
        <v>1.5938940175910807</v>
      </c>
      <c r="O19" s="62">
        <v>1.3631730138849159</v>
      </c>
      <c r="P19" s="62">
        <v>9.1314196225991073E-2</v>
      </c>
      <c r="Q19" s="58">
        <v>88.925639349496606</v>
      </c>
      <c r="R19" s="62">
        <v>40.582030797190853</v>
      </c>
      <c r="S19" s="62">
        <v>45.163636666902768</v>
      </c>
      <c r="T19" s="62">
        <v>3.1799718854029897</v>
      </c>
    </row>
    <row r="20" spans="1:20" s="19" customFormat="1" ht="12.6" customHeight="1" x14ac:dyDescent="0.25">
      <c r="A20" s="37"/>
      <c r="B20" s="38" t="s">
        <v>33</v>
      </c>
      <c r="C20" s="36">
        <f>'D14'!C20</f>
        <v>0</v>
      </c>
      <c r="D20" s="60">
        <v>1713.7600928608465</v>
      </c>
      <c r="E20" s="61">
        <v>100</v>
      </c>
      <c r="F20" s="58">
        <v>4.1089492915937642</v>
      </c>
      <c r="G20" s="62">
        <v>0</v>
      </c>
      <c r="H20" s="62">
        <v>8.3761847341095194E-2</v>
      </c>
      <c r="I20" s="62">
        <v>1.4312871045893316</v>
      </c>
      <c r="J20" s="62">
        <v>2.593900339663338</v>
      </c>
      <c r="K20" s="62">
        <v>0</v>
      </c>
      <c r="L20" s="62">
        <v>0</v>
      </c>
      <c r="M20" s="58">
        <v>3.6868596293053568</v>
      </c>
      <c r="N20" s="62">
        <v>1.0901059227558727</v>
      </c>
      <c r="O20" s="62">
        <v>2.5967537065494843</v>
      </c>
      <c r="P20" s="62">
        <v>0</v>
      </c>
      <c r="Q20" s="58">
        <v>92.204191079100724</v>
      </c>
      <c r="R20" s="62">
        <v>53.260849284178114</v>
      </c>
      <c r="S20" s="62">
        <v>35.87864387124857</v>
      </c>
      <c r="T20" s="62">
        <v>3.0646979236743173</v>
      </c>
    </row>
    <row r="21" spans="1:20" s="19" customFormat="1" ht="12.6" customHeight="1" x14ac:dyDescent="0.25">
      <c r="A21" s="37"/>
      <c r="B21" s="38" t="s">
        <v>34</v>
      </c>
      <c r="C21" s="36">
        <f>'D14'!C21</f>
        <v>0</v>
      </c>
      <c r="D21" s="60">
        <v>593.54043259362459</v>
      </c>
      <c r="E21" s="61">
        <v>100</v>
      </c>
      <c r="F21" s="58">
        <v>3.2535305355881836</v>
      </c>
      <c r="G21" s="62">
        <v>0</v>
      </c>
      <c r="H21" s="62">
        <v>0.1867355156377852</v>
      </c>
      <c r="I21" s="62">
        <v>6.2349133654034009E-2</v>
      </c>
      <c r="J21" s="62">
        <v>2.9100238418463578</v>
      </c>
      <c r="K21" s="62">
        <v>9.4422044450006778E-2</v>
      </c>
      <c r="L21" s="62">
        <v>0</v>
      </c>
      <c r="M21" s="58">
        <v>4.6624689379808233</v>
      </c>
      <c r="N21" s="62">
        <v>4.3795115687049497</v>
      </c>
      <c r="O21" s="62">
        <v>0.18833156052976271</v>
      </c>
      <c r="P21" s="62">
        <v>9.4625808746110485E-2</v>
      </c>
      <c r="Q21" s="58">
        <v>92.084000526431055</v>
      </c>
      <c r="R21" s="62">
        <v>47.771834248271425</v>
      </c>
      <c r="S21" s="62">
        <v>35.84129728240697</v>
      </c>
      <c r="T21" s="62">
        <v>8.470868995752399</v>
      </c>
    </row>
    <row r="22" spans="1:20" s="19" customFormat="1" ht="12.6" customHeight="1" x14ac:dyDescent="0.25">
      <c r="A22" s="37"/>
      <c r="B22" s="38" t="s">
        <v>35</v>
      </c>
      <c r="C22" s="36">
        <f>'D14'!C22</f>
        <v>0</v>
      </c>
      <c r="D22" s="60">
        <v>836.45840599081566</v>
      </c>
      <c r="E22" s="61">
        <v>100</v>
      </c>
      <c r="F22" s="58">
        <v>6.1948240456619166</v>
      </c>
      <c r="G22" s="62">
        <v>0</v>
      </c>
      <c r="H22" s="62">
        <v>0</v>
      </c>
      <c r="I22" s="62">
        <v>0.78306012155357441</v>
      </c>
      <c r="J22" s="62">
        <v>5.4117639241083424</v>
      </c>
      <c r="K22" s="62">
        <v>0</v>
      </c>
      <c r="L22" s="62">
        <v>0</v>
      </c>
      <c r="M22" s="58">
        <v>5.2568642442074864</v>
      </c>
      <c r="N22" s="62">
        <v>0.77989514681458583</v>
      </c>
      <c r="O22" s="62">
        <v>4.263964677728735</v>
      </c>
      <c r="P22" s="62">
        <v>0.21300441966416744</v>
      </c>
      <c r="Q22" s="58">
        <v>88.548311710130548</v>
      </c>
      <c r="R22" s="62">
        <v>46.804927919384141</v>
      </c>
      <c r="S22" s="62">
        <v>36.026555215645381</v>
      </c>
      <c r="T22" s="62">
        <v>5.7168285751010623</v>
      </c>
    </row>
    <row r="23" spans="1:20" s="19" customFormat="1" ht="12.6" customHeight="1" x14ac:dyDescent="0.25">
      <c r="A23" s="37"/>
      <c r="B23" s="38" t="s">
        <v>36</v>
      </c>
      <c r="C23" s="36">
        <f>'D14'!C23</f>
        <v>0</v>
      </c>
      <c r="D23" s="60">
        <v>586.09709874814757</v>
      </c>
      <c r="E23" s="61">
        <v>100</v>
      </c>
      <c r="F23" s="58">
        <v>1.5016443212008219</v>
      </c>
      <c r="G23" s="62">
        <v>0</v>
      </c>
      <c r="H23" s="62">
        <v>0.1530083393412264</v>
      </c>
      <c r="I23" s="62">
        <v>0.34600533382737469</v>
      </c>
      <c r="J23" s="62">
        <v>0.9205349683391717</v>
      </c>
      <c r="K23" s="62">
        <v>8.2095679693049178E-2</v>
      </c>
      <c r="L23" s="62">
        <v>0</v>
      </c>
      <c r="M23" s="58">
        <v>2.2080446651258328</v>
      </c>
      <c r="N23" s="62">
        <v>0.96184136167914336</v>
      </c>
      <c r="O23" s="62">
        <v>1.1420960225831129</v>
      </c>
      <c r="P23" s="62">
        <v>0.10410728086357762</v>
      </c>
      <c r="Q23" s="58">
        <v>96.290311013673488</v>
      </c>
      <c r="R23" s="62">
        <v>47.846391532176987</v>
      </c>
      <c r="S23" s="62">
        <v>41.613276769767644</v>
      </c>
      <c r="T23" s="62">
        <v>6.8306427117286184</v>
      </c>
    </row>
    <row r="24" spans="1:20" s="19" customFormat="1" ht="12.6" customHeight="1" x14ac:dyDescent="0.25">
      <c r="A24" s="37"/>
      <c r="B24" s="38" t="s">
        <v>37</v>
      </c>
      <c r="C24" s="36">
        <f>'D14'!C24</f>
        <v>0</v>
      </c>
      <c r="D24" s="60">
        <v>934.97654800948521</v>
      </c>
      <c r="E24" s="61">
        <v>100</v>
      </c>
      <c r="F24" s="58">
        <v>4.5567939589296209</v>
      </c>
      <c r="G24" s="62">
        <v>0</v>
      </c>
      <c r="H24" s="62">
        <v>0.22817333320390015</v>
      </c>
      <c r="I24" s="62">
        <v>0.59451392942263226</v>
      </c>
      <c r="J24" s="62">
        <v>3.7341066963030882</v>
      </c>
      <c r="K24" s="62">
        <v>0</v>
      </c>
      <c r="L24" s="62">
        <v>0</v>
      </c>
      <c r="M24" s="58">
        <v>1.8348783629871432</v>
      </c>
      <c r="N24" s="62">
        <v>0.41267393816457654</v>
      </c>
      <c r="O24" s="62">
        <v>1.2885902296060974</v>
      </c>
      <c r="P24" s="62">
        <v>0.13361419521646964</v>
      </c>
      <c r="Q24" s="58">
        <v>93.608327678083356</v>
      </c>
      <c r="R24" s="62">
        <v>59.714505541350263</v>
      </c>
      <c r="S24" s="62">
        <v>29.138104852489601</v>
      </c>
      <c r="T24" s="62">
        <v>4.7557172842432802</v>
      </c>
    </row>
    <row r="25" spans="1:20" s="19" customFormat="1" ht="12.6" customHeight="1" x14ac:dyDescent="0.25">
      <c r="A25" s="37"/>
      <c r="B25" s="38" t="s">
        <v>38</v>
      </c>
      <c r="C25" s="36">
        <f>'D14'!C25</f>
        <v>0</v>
      </c>
      <c r="D25" s="60">
        <v>232.18980990844696</v>
      </c>
      <c r="E25" s="61">
        <v>100</v>
      </c>
      <c r="F25" s="58">
        <v>6.1723157866452629</v>
      </c>
      <c r="G25" s="62">
        <v>0</v>
      </c>
      <c r="H25" s="62">
        <v>0</v>
      </c>
      <c r="I25" s="62">
        <v>2.5929979672900343</v>
      </c>
      <c r="J25" s="62">
        <v>3.2834405585221913</v>
      </c>
      <c r="K25" s="62">
        <v>0.29587726083303867</v>
      </c>
      <c r="L25" s="62">
        <v>0</v>
      </c>
      <c r="M25" s="58">
        <v>4.3896328721023163</v>
      </c>
      <c r="N25" s="62">
        <v>1.4024854948131478</v>
      </c>
      <c r="O25" s="62">
        <v>2.8097256699042452</v>
      </c>
      <c r="P25" s="62">
        <v>0.17742170738492452</v>
      </c>
      <c r="Q25" s="58">
        <v>89.438051341252489</v>
      </c>
      <c r="R25" s="62">
        <v>51.080695609769784</v>
      </c>
      <c r="S25" s="62">
        <v>34.156092231990506</v>
      </c>
      <c r="T25" s="62">
        <v>4.2012634994921871</v>
      </c>
    </row>
    <row r="26" spans="1:20" s="19" customFormat="1" ht="12.6" customHeight="1" x14ac:dyDescent="0.25">
      <c r="A26" s="37"/>
      <c r="B26" s="38" t="s">
        <v>39</v>
      </c>
      <c r="C26" s="36">
        <f>'D14'!C26</f>
        <v>0</v>
      </c>
      <c r="D26" s="60">
        <v>391.99660199231988</v>
      </c>
      <c r="E26" s="61">
        <v>100</v>
      </c>
      <c r="F26" s="58">
        <v>2.6145028575020004</v>
      </c>
      <c r="G26" s="62">
        <v>0</v>
      </c>
      <c r="H26" s="62">
        <v>0</v>
      </c>
      <c r="I26" s="62">
        <v>0.72867169733602022</v>
      </c>
      <c r="J26" s="62">
        <v>1.8593864992521327</v>
      </c>
      <c r="K26" s="62">
        <v>2.6444660913847045E-2</v>
      </c>
      <c r="L26" s="62">
        <v>0</v>
      </c>
      <c r="M26" s="58">
        <v>5.6823992534215737</v>
      </c>
      <c r="N26" s="62">
        <v>3.5879589443766111</v>
      </c>
      <c r="O26" s="62">
        <v>1.8806706892006453</v>
      </c>
      <c r="P26" s="62">
        <v>0.21376961984431966</v>
      </c>
      <c r="Q26" s="58">
        <v>91.703097889076304</v>
      </c>
      <c r="R26" s="62">
        <v>51.980356972644529</v>
      </c>
      <c r="S26" s="62">
        <v>37.444188627948598</v>
      </c>
      <c r="T26" s="62">
        <v>2.2785522884830223</v>
      </c>
    </row>
    <row r="27" spans="1:20" s="19" customFormat="1" ht="12.6" customHeight="1" x14ac:dyDescent="0.25">
      <c r="A27" s="37"/>
      <c r="B27" s="38" t="s">
        <v>40</v>
      </c>
      <c r="C27" s="36">
        <f>'D14'!C27</f>
        <v>0</v>
      </c>
      <c r="D27" s="60">
        <v>119.05946257080498</v>
      </c>
      <c r="E27" s="61">
        <v>100</v>
      </c>
      <c r="F27" s="58">
        <v>4.7815562918756811</v>
      </c>
      <c r="G27" s="62">
        <v>0</v>
      </c>
      <c r="H27" s="62">
        <v>0</v>
      </c>
      <c r="I27" s="62">
        <v>0</v>
      </c>
      <c r="J27" s="62">
        <v>4.0000124760079609</v>
      </c>
      <c r="K27" s="62">
        <v>0.29014762459506782</v>
      </c>
      <c r="L27" s="62">
        <v>0.49139619127265444</v>
      </c>
      <c r="M27" s="58">
        <v>2.5756953096669615</v>
      </c>
      <c r="N27" s="62">
        <v>1.4164263445842897</v>
      </c>
      <c r="O27" s="62">
        <v>1.1592689650826724</v>
      </c>
      <c r="P27" s="62">
        <v>0</v>
      </c>
      <c r="Q27" s="58">
        <v>92.642748398457201</v>
      </c>
      <c r="R27" s="62">
        <v>67.644124832185696</v>
      </c>
      <c r="S27" s="62">
        <v>23.825698459424913</v>
      </c>
      <c r="T27" s="62">
        <v>1.1729251068465711</v>
      </c>
    </row>
    <row r="28" spans="1:20" s="19" customFormat="1" ht="12.6" customHeight="1" x14ac:dyDescent="0.25">
      <c r="A28" s="37"/>
      <c r="B28" s="38" t="s">
        <v>41</v>
      </c>
      <c r="C28" s="36">
        <f>'D14'!C28</f>
        <v>0</v>
      </c>
      <c r="D28" s="60">
        <v>479.16693643720117</v>
      </c>
      <c r="E28" s="61">
        <v>100</v>
      </c>
      <c r="F28" s="58">
        <v>27.10946519963862</v>
      </c>
      <c r="G28" s="62">
        <v>0.3081493711504617</v>
      </c>
      <c r="H28" s="62">
        <v>0.11960293663891754</v>
      </c>
      <c r="I28" s="62">
        <v>8.1472386174018148</v>
      </c>
      <c r="J28" s="62">
        <v>17.874637533440026</v>
      </c>
      <c r="K28" s="62">
        <v>0.65983674100739576</v>
      </c>
      <c r="L28" s="62">
        <v>0</v>
      </c>
      <c r="M28" s="58">
        <v>3.3424236292727096</v>
      </c>
      <c r="N28" s="62">
        <v>3.1826329320792772</v>
      </c>
      <c r="O28" s="62">
        <v>0.12067713676789249</v>
      </c>
      <c r="P28" s="62">
        <v>3.9113560425539873E-2</v>
      </c>
      <c r="Q28" s="58">
        <v>69.548111171088053</v>
      </c>
      <c r="R28" s="62">
        <v>40.210240475303017</v>
      </c>
      <c r="S28" s="62">
        <v>27.729788410948316</v>
      </c>
      <c r="T28" s="62">
        <v>1.6080822848368774</v>
      </c>
    </row>
    <row r="29" spans="1:20" s="19" customFormat="1" ht="12.6" customHeight="1" x14ac:dyDescent="0.25">
      <c r="A29" s="37"/>
      <c r="B29" s="38" t="s">
        <v>42</v>
      </c>
      <c r="C29" s="36">
        <f>'D14'!C29</f>
        <v>0</v>
      </c>
      <c r="D29" s="60">
        <v>634.85141418401292</v>
      </c>
      <c r="E29" s="61">
        <v>100</v>
      </c>
      <c r="F29" s="58">
        <v>4.5705290245782404</v>
      </c>
      <c r="G29" s="62">
        <v>0</v>
      </c>
      <c r="H29" s="62">
        <v>0.31130609867105402</v>
      </c>
      <c r="I29" s="62">
        <v>1.5562915117836802</v>
      </c>
      <c r="J29" s="62">
        <v>2.6411148249461007</v>
      </c>
      <c r="K29" s="62">
        <v>6.1816589177407406E-2</v>
      </c>
      <c r="L29" s="62">
        <v>0</v>
      </c>
      <c r="M29" s="58">
        <v>8.7852944918523193</v>
      </c>
      <c r="N29" s="62">
        <v>7.501045090232398</v>
      </c>
      <c r="O29" s="62">
        <v>1.2842494016199195</v>
      </c>
      <c r="P29" s="62">
        <v>0</v>
      </c>
      <c r="Q29" s="58">
        <v>86.64417648356914</v>
      </c>
      <c r="R29" s="62">
        <v>58.025964209105865</v>
      </c>
      <c r="S29" s="62">
        <v>28.36890903533525</v>
      </c>
      <c r="T29" s="62">
        <v>0.24930323912853591</v>
      </c>
    </row>
    <row r="30" spans="1:20" s="19" customFormat="1" ht="12.6" customHeight="1" x14ac:dyDescent="0.25">
      <c r="A30" s="37"/>
      <c r="B30" s="38" t="s">
        <v>43</v>
      </c>
      <c r="C30" s="36">
        <f>'D14'!C30</f>
        <v>0</v>
      </c>
      <c r="D30" s="60">
        <v>320.47093959726993</v>
      </c>
      <c r="E30" s="61">
        <v>100</v>
      </c>
      <c r="F30" s="58">
        <v>4.7954075831111007</v>
      </c>
      <c r="G30" s="62">
        <v>0</v>
      </c>
      <c r="H30" s="62">
        <v>0.8646058206805296</v>
      </c>
      <c r="I30" s="62">
        <v>1.7800836559957758</v>
      </c>
      <c r="J30" s="62">
        <v>1.8155334299099029</v>
      </c>
      <c r="K30" s="62">
        <v>0.33518467652489087</v>
      </c>
      <c r="L30" s="62">
        <v>0</v>
      </c>
      <c r="M30" s="58">
        <v>5.2272197106339924</v>
      </c>
      <c r="N30" s="62">
        <v>0.95942179086644275</v>
      </c>
      <c r="O30" s="62">
        <v>3.9513288908858426</v>
      </c>
      <c r="P30" s="62">
        <v>0.31646902888170475</v>
      </c>
      <c r="Q30" s="58">
        <v>89.977372706254883</v>
      </c>
      <c r="R30" s="62">
        <v>56.387814260850291</v>
      </c>
      <c r="S30" s="62">
        <v>33.187148679983757</v>
      </c>
      <c r="T30" s="62">
        <v>0.40240976542079848</v>
      </c>
    </row>
    <row r="31" spans="1:20" s="19" customFormat="1" ht="12.6" customHeight="1" x14ac:dyDescent="0.25">
      <c r="A31" s="37"/>
      <c r="B31" s="38" t="s">
        <v>44</v>
      </c>
      <c r="C31" s="36">
        <f>'D14'!C31</f>
        <v>0</v>
      </c>
      <c r="D31" s="60">
        <v>173.79651727535267</v>
      </c>
      <c r="E31" s="61">
        <v>100</v>
      </c>
      <c r="F31" s="58">
        <v>3.9253120048259298</v>
      </c>
      <c r="G31" s="62">
        <v>0</v>
      </c>
      <c r="H31" s="62">
        <v>0</v>
      </c>
      <c r="I31" s="62">
        <v>0</v>
      </c>
      <c r="J31" s="62">
        <v>3.8750721369927827</v>
      </c>
      <c r="K31" s="62">
        <v>5.0239867833148287E-2</v>
      </c>
      <c r="L31" s="62">
        <v>0</v>
      </c>
      <c r="M31" s="58">
        <v>4.3233693774215505</v>
      </c>
      <c r="N31" s="62">
        <v>1.8892048009780058</v>
      </c>
      <c r="O31" s="62">
        <v>2.4341645764435462</v>
      </c>
      <c r="P31" s="62">
        <v>0</v>
      </c>
      <c r="Q31" s="58">
        <v>91.751318617752233</v>
      </c>
      <c r="R31" s="62">
        <v>40.199657680055616</v>
      </c>
      <c r="S31" s="62">
        <v>49.181581665967464</v>
      </c>
      <c r="T31" s="62">
        <v>2.3700792717294767</v>
      </c>
    </row>
    <row r="32" spans="1:20" s="19" customFormat="1" ht="12.6" customHeight="1" x14ac:dyDescent="0.25">
      <c r="A32" s="37"/>
      <c r="B32" s="38" t="s">
        <v>45</v>
      </c>
      <c r="C32" s="36">
        <f>'D14'!C32</f>
        <v>0</v>
      </c>
      <c r="D32" s="60">
        <v>13.1272617769864</v>
      </c>
      <c r="E32" s="61">
        <v>100</v>
      </c>
      <c r="F32" s="58">
        <v>6.6215449152575516</v>
      </c>
      <c r="G32" s="62">
        <v>0</v>
      </c>
      <c r="H32" s="62">
        <v>0</v>
      </c>
      <c r="I32" s="62">
        <v>0</v>
      </c>
      <c r="J32" s="62">
        <v>3.3083172550683253</v>
      </c>
      <c r="K32" s="62">
        <v>0</v>
      </c>
      <c r="L32" s="62">
        <v>3.3132276601892263</v>
      </c>
      <c r="M32" s="58">
        <v>6.5667550015161993</v>
      </c>
      <c r="N32" s="62">
        <v>6.5667550015161993</v>
      </c>
      <c r="O32" s="62">
        <v>0</v>
      </c>
      <c r="P32" s="62">
        <v>0</v>
      </c>
      <c r="Q32" s="58">
        <v>86.811700083226327</v>
      </c>
      <c r="R32" s="62">
        <v>46.670359987214091</v>
      </c>
      <c r="S32" s="62">
        <v>39.899034176356089</v>
      </c>
      <c r="T32" s="62">
        <v>0.2423059196564179</v>
      </c>
    </row>
    <row r="33" spans="1:20" s="19" customFormat="1" ht="12.6" customHeight="1" x14ac:dyDescent="0.25">
      <c r="A33" s="37" t="s">
        <v>232</v>
      </c>
      <c r="B33" s="38"/>
      <c r="C33" s="36" t="s">
        <v>92</v>
      </c>
      <c r="D33" s="60"/>
      <c r="E33" s="61"/>
      <c r="F33" s="58"/>
      <c r="G33" s="62"/>
      <c r="H33" s="62"/>
      <c r="I33" s="62"/>
      <c r="J33" s="62"/>
      <c r="K33" s="62"/>
      <c r="L33" s="62"/>
      <c r="M33" s="58"/>
      <c r="N33" s="62"/>
      <c r="O33" s="62"/>
      <c r="P33" s="62"/>
      <c r="Q33" s="58"/>
      <c r="R33" s="62"/>
      <c r="S33" s="62"/>
      <c r="T33" s="62"/>
    </row>
    <row r="34" spans="1:20" s="19" customFormat="1" ht="12.6" customHeight="1" x14ac:dyDescent="0.25">
      <c r="A34" s="37"/>
      <c r="B34" s="38" t="s">
        <v>233</v>
      </c>
      <c r="C34" s="36"/>
      <c r="D34" s="60">
        <v>22955.831732713203</v>
      </c>
      <c r="E34" s="61">
        <v>100</v>
      </c>
      <c r="F34" s="58">
        <v>17.870539020580203</v>
      </c>
      <c r="G34" s="62">
        <v>8.0544529682302475</v>
      </c>
      <c r="H34" s="62">
        <v>0.38618518621138265</v>
      </c>
      <c r="I34" s="62">
        <v>1.4627689812800653</v>
      </c>
      <c r="J34" s="62">
        <v>6.562269880687178</v>
      </c>
      <c r="K34" s="62">
        <v>1.3026705508501188</v>
      </c>
      <c r="L34" s="62">
        <v>0.10219145332117743</v>
      </c>
      <c r="M34" s="58">
        <v>4.7690953904503646</v>
      </c>
      <c r="N34" s="62">
        <v>2.9219565825918741</v>
      </c>
      <c r="O34" s="62">
        <v>1.608939093373384</v>
      </c>
      <c r="P34" s="62">
        <v>0.23819971448510999</v>
      </c>
      <c r="Q34" s="58">
        <v>77.360365588970183</v>
      </c>
      <c r="R34" s="62">
        <v>49.277571694276702</v>
      </c>
      <c r="S34" s="62">
        <v>26.761996343010505</v>
      </c>
      <c r="T34" s="62">
        <v>1.3207975516833039</v>
      </c>
    </row>
    <row r="35" spans="1:20" s="19" customFormat="1" ht="12.6" customHeight="1" x14ac:dyDescent="0.25">
      <c r="A35" s="37"/>
      <c r="B35" s="38" t="s">
        <v>234</v>
      </c>
      <c r="C35" s="36"/>
      <c r="D35" s="60">
        <v>9159.1400391767693</v>
      </c>
      <c r="E35" s="61">
        <v>100</v>
      </c>
      <c r="F35" s="58">
        <v>6.0689220017529939</v>
      </c>
      <c r="G35" s="62">
        <v>1.8898447733244388E-2</v>
      </c>
      <c r="H35" s="62">
        <v>0.18773903056391777</v>
      </c>
      <c r="I35" s="62">
        <v>1.5483982217139554</v>
      </c>
      <c r="J35" s="62">
        <v>4.023104665054726</v>
      </c>
      <c r="K35" s="62">
        <v>0.27964533209655074</v>
      </c>
      <c r="L35" s="62">
        <v>1.1136304590609426E-2</v>
      </c>
      <c r="M35" s="58">
        <v>4.0218761438694681</v>
      </c>
      <c r="N35" s="62">
        <v>2.1546302423442771</v>
      </c>
      <c r="O35" s="62">
        <v>1.7742889949231271</v>
      </c>
      <c r="P35" s="62">
        <v>9.2956906602065778E-2</v>
      </c>
      <c r="Q35" s="58">
        <v>89.909201854380058</v>
      </c>
      <c r="R35" s="62">
        <v>50.357688647998899</v>
      </c>
      <c r="S35" s="62">
        <v>36.153299696445202</v>
      </c>
      <c r="T35" s="62">
        <v>3.3982135099363728</v>
      </c>
    </row>
    <row r="36" spans="1:20" s="19" customFormat="1" ht="12.6" customHeight="1" x14ac:dyDescent="0.25">
      <c r="A36" s="37" t="s">
        <v>46</v>
      </c>
      <c r="B36" s="38"/>
      <c r="C36" s="36" t="str">
        <f>'D14'!C36</f>
        <v>***</v>
      </c>
      <c r="D36" s="60"/>
      <c r="E36" s="61"/>
      <c r="F36" s="58"/>
      <c r="G36" s="62"/>
      <c r="H36" s="62"/>
      <c r="I36" s="62"/>
      <c r="J36" s="62"/>
      <c r="K36" s="62"/>
      <c r="L36" s="62"/>
      <c r="M36" s="58"/>
      <c r="N36" s="62"/>
      <c r="O36" s="62"/>
      <c r="P36" s="62"/>
      <c r="Q36" s="58"/>
      <c r="R36" s="62"/>
      <c r="S36" s="62"/>
      <c r="T36" s="62"/>
    </row>
    <row r="37" spans="1:20" s="19" customFormat="1" ht="12.6" customHeight="1" x14ac:dyDescent="0.25">
      <c r="A37" s="37"/>
      <c r="B37" s="38" t="s">
        <v>47</v>
      </c>
      <c r="C37" s="36">
        <f>'D14'!C37</f>
        <v>0</v>
      </c>
      <c r="D37" s="60">
        <v>17140.930806816337</v>
      </c>
      <c r="E37" s="61">
        <v>100</v>
      </c>
      <c r="F37" s="58">
        <v>9.8974310539741897</v>
      </c>
      <c r="G37" s="62">
        <v>4.0413755211971845</v>
      </c>
      <c r="H37" s="62">
        <v>0.46651827122827627</v>
      </c>
      <c r="I37" s="62">
        <v>1.0765157431744037</v>
      </c>
      <c r="J37" s="62">
        <v>3.7389696694309498</v>
      </c>
      <c r="K37" s="62">
        <v>0.43338398544024059</v>
      </c>
      <c r="L37" s="62">
        <v>0.14066786350310945</v>
      </c>
      <c r="M37" s="58">
        <v>4.0043182918853475</v>
      </c>
      <c r="N37" s="62">
        <v>1.9555131953475628</v>
      </c>
      <c r="O37" s="62">
        <v>1.7875660563126741</v>
      </c>
      <c r="P37" s="62">
        <v>0.26123904022511141</v>
      </c>
      <c r="Q37" s="58">
        <v>86.098250654141196</v>
      </c>
      <c r="R37" s="62">
        <v>48.732959927498605</v>
      </c>
      <c r="S37" s="62">
        <v>34.075866438467905</v>
      </c>
      <c r="T37" s="62">
        <v>3.2894242881734552</v>
      </c>
    </row>
    <row r="38" spans="1:20" s="19" customFormat="1" ht="12.6" customHeight="1" x14ac:dyDescent="0.25">
      <c r="A38" s="37"/>
      <c r="B38" s="38" t="s">
        <v>48</v>
      </c>
      <c r="C38" s="36">
        <f>'D14'!C38</f>
        <v>0</v>
      </c>
      <c r="D38" s="60">
        <v>14974.040965074204</v>
      </c>
      <c r="E38" s="61">
        <v>100</v>
      </c>
      <c r="F38" s="58">
        <v>19.778763331795563</v>
      </c>
      <c r="G38" s="62">
        <v>7.7331712036812608</v>
      </c>
      <c r="H38" s="62">
        <v>0.17284397864854756</v>
      </c>
      <c r="I38" s="62">
        <v>1.957293488734738</v>
      </c>
      <c r="J38" s="62">
        <v>8.2410033524371542</v>
      </c>
      <c r="K38" s="62">
        <v>1.6719996878353014</v>
      </c>
      <c r="L38" s="62">
        <v>2.4516204585538406E-3</v>
      </c>
      <c r="M38" s="58">
        <v>5.1874931779512989</v>
      </c>
      <c r="N38" s="62">
        <v>3.5589048750152301</v>
      </c>
      <c r="O38" s="62">
        <v>1.5056022912485649</v>
      </c>
      <c r="P38" s="62">
        <v>0.12298601168750301</v>
      </c>
      <c r="Q38" s="58">
        <v>75.033743490252022</v>
      </c>
      <c r="R38" s="62">
        <v>50.561666955774079</v>
      </c>
      <c r="S38" s="62">
        <v>24.134096582112058</v>
      </c>
      <c r="T38" s="62">
        <v>0.33797995236643208</v>
      </c>
    </row>
    <row r="39" spans="1:20" s="19" customFormat="1" ht="12.6" customHeight="1" x14ac:dyDescent="0.25">
      <c r="A39" s="37" t="s">
        <v>49</v>
      </c>
      <c r="B39" s="38"/>
      <c r="C39" s="36" t="str">
        <f>'D14'!C39</f>
        <v>***</v>
      </c>
      <c r="D39" s="60"/>
      <c r="E39" s="61"/>
      <c r="F39" s="58"/>
      <c r="G39" s="62"/>
      <c r="H39" s="62"/>
      <c r="I39" s="62"/>
      <c r="J39" s="62"/>
      <c r="K39" s="62"/>
      <c r="L39" s="62"/>
      <c r="M39" s="58"/>
      <c r="N39" s="62"/>
      <c r="O39" s="62"/>
      <c r="P39" s="62"/>
      <c r="Q39" s="58"/>
      <c r="R39" s="62"/>
      <c r="S39" s="62"/>
      <c r="T39" s="62"/>
    </row>
    <row r="40" spans="1:20" s="19" customFormat="1" ht="12.6" customHeight="1" x14ac:dyDescent="0.25">
      <c r="A40" s="37"/>
      <c r="B40" s="38" t="s">
        <v>107</v>
      </c>
      <c r="C40" s="36">
        <f>'D14'!C40</f>
        <v>0</v>
      </c>
      <c r="D40" s="60">
        <v>1528.7760499224009</v>
      </c>
      <c r="E40" s="61">
        <v>100</v>
      </c>
      <c r="F40" s="58">
        <v>51.726841251320842</v>
      </c>
      <c r="G40" s="62">
        <v>9.4391452301706327</v>
      </c>
      <c r="H40" s="62">
        <v>5.0213438295718636E-2</v>
      </c>
      <c r="I40" s="62">
        <v>5.2834211460642084</v>
      </c>
      <c r="J40" s="62">
        <v>35.267001485748906</v>
      </c>
      <c r="K40" s="62">
        <v>1.6764060820700126</v>
      </c>
      <c r="L40" s="62">
        <v>1.0653868971450852E-2</v>
      </c>
      <c r="M40" s="58">
        <v>21.318733587315403</v>
      </c>
      <c r="N40" s="62">
        <v>10.705284816086523</v>
      </c>
      <c r="O40" s="62">
        <v>9.875528840202648</v>
      </c>
      <c r="P40" s="62">
        <v>0.73791993102623832</v>
      </c>
      <c r="Q40" s="58">
        <v>26.95442516136319</v>
      </c>
      <c r="R40" s="62">
        <v>14.174391365394849</v>
      </c>
      <c r="S40" s="62">
        <v>12.68546764402268</v>
      </c>
      <c r="T40" s="62">
        <v>9.4566151945678883E-2</v>
      </c>
    </row>
    <row r="41" spans="1:20" s="19" customFormat="1" ht="12.6" customHeight="1" x14ac:dyDescent="0.25">
      <c r="A41" s="37"/>
      <c r="B41" s="38" t="s">
        <v>108</v>
      </c>
      <c r="C41" s="36">
        <f>'D14'!C41</f>
        <v>0</v>
      </c>
      <c r="D41" s="60">
        <v>710.6782109367964</v>
      </c>
      <c r="E41" s="61">
        <v>100</v>
      </c>
      <c r="F41" s="58">
        <v>29.369920685004207</v>
      </c>
      <c r="G41" s="62">
        <v>8.6009164079880662</v>
      </c>
      <c r="H41" s="62">
        <v>2.3402609633392288E-2</v>
      </c>
      <c r="I41" s="62">
        <v>3.1575646397759134</v>
      </c>
      <c r="J41" s="62">
        <v>17.438595527312209</v>
      </c>
      <c r="K41" s="62">
        <v>0.14944150029460096</v>
      </c>
      <c r="L41" s="62">
        <v>0</v>
      </c>
      <c r="M41" s="58">
        <v>9.1476399491383411</v>
      </c>
      <c r="N41" s="62">
        <v>5.4425110979195281</v>
      </c>
      <c r="O41" s="62">
        <v>3.6597344646875909</v>
      </c>
      <c r="P41" s="62">
        <v>4.5394386531224268E-2</v>
      </c>
      <c r="Q41" s="58">
        <v>61.48243936585795</v>
      </c>
      <c r="R41" s="62">
        <v>50.027217916640538</v>
      </c>
      <c r="S41" s="62">
        <v>10.850942941562723</v>
      </c>
      <c r="T41" s="62">
        <v>0.60427850765472302</v>
      </c>
    </row>
    <row r="42" spans="1:20" s="19" customFormat="1" ht="12.6" customHeight="1" x14ac:dyDescent="0.25">
      <c r="A42" s="37"/>
      <c r="B42" s="38" t="s">
        <v>109</v>
      </c>
      <c r="C42" s="36">
        <f>'D14'!C42</f>
        <v>0</v>
      </c>
      <c r="D42" s="60">
        <v>5374.9474161548424</v>
      </c>
      <c r="E42" s="61">
        <v>100</v>
      </c>
      <c r="F42" s="58">
        <v>14.666259320211619</v>
      </c>
      <c r="G42" s="62">
        <v>6.4952046961300338</v>
      </c>
      <c r="H42" s="62">
        <v>0.15090721043863287</v>
      </c>
      <c r="I42" s="62">
        <v>2.1656715148143233</v>
      </c>
      <c r="J42" s="62">
        <v>5.5840182280100024</v>
      </c>
      <c r="K42" s="62">
        <v>0.26144709440377334</v>
      </c>
      <c r="L42" s="62">
        <v>9.0105764149248126E-3</v>
      </c>
      <c r="M42" s="58">
        <v>4.7423815741916577</v>
      </c>
      <c r="N42" s="62">
        <v>3.0887555386327814</v>
      </c>
      <c r="O42" s="62">
        <v>1.6308625162931332</v>
      </c>
      <c r="P42" s="62">
        <v>2.2763519265742049E-2</v>
      </c>
      <c r="Q42" s="58">
        <v>80.591359105597675</v>
      </c>
      <c r="R42" s="62">
        <v>60.787149752226028</v>
      </c>
      <c r="S42" s="62">
        <v>18.79011810854464</v>
      </c>
      <c r="T42" s="62">
        <v>1.0140912448270152</v>
      </c>
    </row>
    <row r="43" spans="1:20" s="19" customFormat="1" ht="12.6" customHeight="1" x14ac:dyDescent="0.25">
      <c r="A43" s="37"/>
      <c r="B43" s="38" t="s">
        <v>110</v>
      </c>
      <c r="C43" s="36">
        <f>'D14'!C43</f>
        <v>0</v>
      </c>
      <c r="D43" s="60">
        <v>7063.5663375663989</v>
      </c>
      <c r="E43" s="61">
        <v>100</v>
      </c>
      <c r="F43" s="58">
        <v>13.206105522587622</v>
      </c>
      <c r="G43" s="62">
        <v>5.2428548664352101</v>
      </c>
      <c r="H43" s="62">
        <v>0.52853644042431391</v>
      </c>
      <c r="I43" s="62">
        <v>1.5742390218638251</v>
      </c>
      <c r="J43" s="62">
        <v>2.6893086871984018</v>
      </c>
      <c r="K43" s="62">
        <v>3.1707982728665298</v>
      </c>
      <c r="L43" s="62">
        <v>3.6823379935914245E-4</v>
      </c>
      <c r="M43" s="58">
        <v>2.0484657471094376</v>
      </c>
      <c r="N43" s="62">
        <v>1.2765082348811325</v>
      </c>
      <c r="O43" s="62">
        <v>0.66878626260296226</v>
      </c>
      <c r="P43" s="62">
        <v>0.10317124962534208</v>
      </c>
      <c r="Q43" s="58">
        <v>84.745428730302621</v>
      </c>
      <c r="R43" s="62">
        <v>49.212157006625098</v>
      </c>
      <c r="S43" s="62">
        <v>33.820486775372039</v>
      </c>
      <c r="T43" s="62">
        <v>1.7127849483052053</v>
      </c>
    </row>
    <row r="44" spans="1:20" s="19" customFormat="1" ht="12.6" customHeight="1" x14ac:dyDescent="0.25">
      <c r="A44" s="37"/>
      <c r="B44" s="38" t="s">
        <v>111</v>
      </c>
      <c r="C44" s="36">
        <f>'D14'!C44</f>
        <v>0</v>
      </c>
      <c r="D44" s="60">
        <v>8162.2745928233207</v>
      </c>
      <c r="E44" s="61">
        <v>100</v>
      </c>
      <c r="F44" s="58">
        <v>11.045674995202114</v>
      </c>
      <c r="G44" s="62">
        <v>5.9349513889283445</v>
      </c>
      <c r="H44" s="62">
        <v>0.5958190489897186</v>
      </c>
      <c r="I44" s="62">
        <v>0.57569017630608743</v>
      </c>
      <c r="J44" s="62">
        <v>3.8077277149878475</v>
      </c>
      <c r="K44" s="62">
        <v>0.12865159017575314</v>
      </c>
      <c r="L44" s="62">
        <v>2.835075814368055E-3</v>
      </c>
      <c r="M44" s="58">
        <v>3.4029615087250558</v>
      </c>
      <c r="N44" s="62">
        <v>2.1498429082246466</v>
      </c>
      <c r="O44" s="62">
        <v>0.9130325111948091</v>
      </c>
      <c r="P44" s="62">
        <v>0.3400860893056003</v>
      </c>
      <c r="Q44" s="58">
        <v>85.551363496072739</v>
      </c>
      <c r="R44" s="62">
        <v>50.942504948735952</v>
      </c>
      <c r="S44" s="62">
        <v>33.664750636482978</v>
      </c>
      <c r="T44" s="62">
        <v>0.94410791085457679</v>
      </c>
    </row>
    <row r="45" spans="1:20" s="19" customFormat="1" ht="12.6" customHeight="1" x14ac:dyDescent="0.25">
      <c r="A45" s="37"/>
      <c r="B45" s="38" t="s">
        <v>112</v>
      </c>
      <c r="C45" s="36">
        <f>'D14'!C45</f>
        <v>0</v>
      </c>
      <c r="D45" s="60">
        <v>6167.0797085959084</v>
      </c>
      <c r="E45" s="61">
        <v>100</v>
      </c>
      <c r="F45" s="58">
        <v>10.793114314422446</v>
      </c>
      <c r="G45" s="62">
        <v>4.7493064655466322</v>
      </c>
      <c r="H45" s="62">
        <v>3.2317702102859232E-2</v>
      </c>
      <c r="I45" s="62">
        <v>1.346208273426158</v>
      </c>
      <c r="J45" s="62">
        <v>3.9904040706443444</v>
      </c>
      <c r="K45" s="62">
        <v>0.33959560459725069</v>
      </c>
      <c r="L45" s="62">
        <v>0.33528219810517562</v>
      </c>
      <c r="M45" s="58">
        <v>3.571071045899985</v>
      </c>
      <c r="N45" s="62">
        <v>2.0867925782702188</v>
      </c>
      <c r="O45" s="62">
        <v>1.2553445335227271</v>
      </c>
      <c r="P45" s="62">
        <v>0.22893393410704033</v>
      </c>
      <c r="Q45" s="58">
        <v>85.635814639677164</v>
      </c>
      <c r="R45" s="62">
        <v>47.310431757940847</v>
      </c>
      <c r="S45" s="62">
        <v>35.111751553460273</v>
      </c>
      <c r="T45" s="62">
        <v>3.2136313282752949</v>
      </c>
    </row>
    <row r="46" spans="1:20" s="19" customFormat="1" ht="12.6" customHeight="1" x14ac:dyDescent="0.25">
      <c r="A46" s="37"/>
      <c r="B46" s="38" t="s">
        <v>113</v>
      </c>
      <c r="C46" s="36">
        <f>'D14'!C46</f>
        <v>0</v>
      </c>
      <c r="D46" s="60">
        <v>1827.5909344277336</v>
      </c>
      <c r="E46" s="61">
        <v>100</v>
      </c>
      <c r="F46" s="58">
        <v>9.4527452172277453</v>
      </c>
      <c r="G46" s="62">
        <v>4.3272739721611311</v>
      </c>
      <c r="H46" s="62">
        <v>0.41763317547961687</v>
      </c>
      <c r="I46" s="62">
        <v>0.40489228978811415</v>
      </c>
      <c r="J46" s="62">
        <v>3.9328672787313925</v>
      </c>
      <c r="K46" s="62">
        <v>0.37007850106748325</v>
      </c>
      <c r="L46" s="62">
        <v>0</v>
      </c>
      <c r="M46" s="58">
        <v>5.2336576248007329</v>
      </c>
      <c r="N46" s="62">
        <v>4.2808260991538569</v>
      </c>
      <c r="O46" s="62">
        <v>0.92070292898103578</v>
      </c>
      <c r="P46" s="62">
        <v>3.2128596665836541E-2</v>
      </c>
      <c r="Q46" s="58">
        <v>85.313597157971586</v>
      </c>
      <c r="R46" s="62">
        <v>49.033354141184795</v>
      </c>
      <c r="S46" s="62">
        <v>30.825728421890418</v>
      </c>
      <c r="T46" s="62">
        <v>5.4545145948959135</v>
      </c>
    </row>
    <row r="47" spans="1:20" s="19" customFormat="1" ht="12.6" customHeight="1" x14ac:dyDescent="0.25">
      <c r="A47" s="37"/>
      <c r="B47" s="38" t="s">
        <v>114</v>
      </c>
      <c r="C47" s="36"/>
      <c r="D47" s="60">
        <v>1280.0585214630098</v>
      </c>
      <c r="E47" s="61">
        <v>100</v>
      </c>
      <c r="F47" s="58">
        <v>15.436574962028502</v>
      </c>
      <c r="G47" s="62">
        <v>5.4230016927045508</v>
      </c>
      <c r="H47" s="62">
        <v>9.4570466974626163E-2</v>
      </c>
      <c r="I47" s="62">
        <v>0.73331793307789872</v>
      </c>
      <c r="J47" s="62">
        <v>7.2617919662368493</v>
      </c>
      <c r="K47" s="62">
        <v>1.6975624115131192</v>
      </c>
      <c r="L47" s="62">
        <v>0.2263304915214461</v>
      </c>
      <c r="M47" s="58">
        <v>6.171111486628587</v>
      </c>
      <c r="N47" s="62">
        <v>2.1228905935964617</v>
      </c>
      <c r="O47" s="62">
        <v>4.0001408347748013</v>
      </c>
      <c r="P47" s="62">
        <v>4.8080058257328459E-2</v>
      </c>
      <c r="Q47" s="58">
        <v>78.392313551343008</v>
      </c>
      <c r="R47" s="62">
        <v>49.755648958835799</v>
      </c>
      <c r="S47" s="62">
        <v>24.08356454254611</v>
      </c>
      <c r="T47" s="62">
        <v>4.5531000499611132</v>
      </c>
    </row>
    <row r="48" spans="1:20" s="19" customFormat="1" ht="12.6" customHeight="1" x14ac:dyDescent="0.25">
      <c r="A48" s="37" t="s">
        <v>50</v>
      </c>
      <c r="B48" s="38"/>
      <c r="C48" s="36" t="str">
        <f>'D14'!C49</f>
        <v>***</v>
      </c>
      <c r="D48" s="60"/>
      <c r="E48" s="61"/>
      <c r="F48" s="58"/>
      <c r="G48" s="62"/>
      <c r="H48" s="62"/>
      <c r="I48" s="62"/>
      <c r="J48" s="62"/>
      <c r="K48" s="62"/>
      <c r="L48" s="62"/>
      <c r="M48" s="58"/>
      <c r="N48" s="62"/>
      <c r="O48" s="62"/>
      <c r="P48" s="62"/>
      <c r="Q48" s="58"/>
      <c r="R48" s="62"/>
      <c r="S48" s="62"/>
      <c r="T48" s="62"/>
    </row>
    <row r="49" spans="1:20" s="19" customFormat="1" ht="12.6" customHeight="1" x14ac:dyDescent="0.25">
      <c r="A49" s="37"/>
      <c r="B49" s="38" t="s">
        <v>3</v>
      </c>
      <c r="C49" s="36">
        <f>'D14'!C50</f>
        <v>0</v>
      </c>
      <c r="D49" s="60">
        <v>486.93466969090099</v>
      </c>
      <c r="E49" s="61">
        <v>100</v>
      </c>
      <c r="F49" s="58">
        <v>5.1002441764734012</v>
      </c>
      <c r="G49" s="62">
        <v>1.7494928534550345</v>
      </c>
      <c r="H49" s="62">
        <v>0</v>
      </c>
      <c r="I49" s="62">
        <v>1.099957590217614</v>
      </c>
      <c r="J49" s="62">
        <v>2.2507937328007532</v>
      </c>
      <c r="K49" s="62">
        <v>0</v>
      </c>
      <c r="L49" s="62">
        <v>0</v>
      </c>
      <c r="M49" s="58">
        <v>8.0030536229542122</v>
      </c>
      <c r="N49" s="62">
        <v>3.9485713487899861</v>
      </c>
      <c r="O49" s="62">
        <v>4.0544822741642248</v>
      </c>
      <c r="P49" s="62">
        <v>0</v>
      </c>
      <c r="Q49" s="58">
        <v>86.896702200572378</v>
      </c>
      <c r="R49" s="62">
        <v>60.800755717033255</v>
      </c>
      <c r="S49" s="62">
        <v>17.896431194505123</v>
      </c>
      <c r="T49" s="62">
        <v>8.1995152890340588</v>
      </c>
    </row>
    <row r="50" spans="1:20" s="19" customFormat="1" ht="12.6" customHeight="1" x14ac:dyDescent="0.25">
      <c r="A50" s="37"/>
      <c r="B50" s="38" t="s">
        <v>115</v>
      </c>
      <c r="C50" s="36">
        <f>'D14'!C51</f>
        <v>0</v>
      </c>
      <c r="D50" s="60">
        <v>1806.3819818380143</v>
      </c>
      <c r="E50" s="61">
        <v>100</v>
      </c>
      <c r="F50" s="58">
        <v>5.2642269729665738</v>
      </c>
      <c r="G50" s="62">
        <v>0.27673598187136111</v>
      </c>
      <c r="H50" s="62">
        <v>3.9430141491729881E-2</v>
      </c>
      <c r="I50" s="62">
        <v>0.10684871665986449</v>
      </c>
      <c r="J50" s="62">
        <v>4.6370569873459964</v>
      </c>
      <c r="K50" s="62">
        <v>4.3770311574782166E-2</v>
      </c>
      <c r="L50" s="62">
        <v>0.16038483402283993</v>
      </c>
      <c r="M50" s="58">
        <v>9.3924645366718806</v>
      </c>
      <c r="N50" s="62">
        <v>5.1209631976299006</v>
      </c>
      <c r="O50" s="62">
        <v>4.2310672375414775</v>
      </c>
      <c r="P50" s="62">
        <v>4.0434101500501182E-2</v>
      </c>
      <c r="Q50" s="58">
        <v>85.343308490361579</v>
      </c>
      <c r="R50" s="62">
        <v>56.245300494132835</v>
      </c>
      <c r="S50" s="62">
        <v>21.939952550441522</v>
      </c>
      <c r="T50" s="62">
        <v>7.158055445786891</v>
      </c>
    </row>
    <row r="51" spans="1:20" s="19" customFormat="1" ht="12.6" customHeight="1" x14ac:dyDescent="0.25">
      <c r="A51" s="37"/>
      <c r="B51" s="38" t="s">
        <v>116</v>
      </c>
      <c r="C51" s="36">
        <f>'D14'!C52</f>
        <v>0</v>
      </c>
      <c r="D51" s="60">
        <v>8468.637659620028</v>
      </c>
      <c r="E51" s="61">
        <v>100</v>
      </c>
      <c r="F51" s="58">
        <v>13.746226288761161</v>
      </c>
      <c r="G51" s="62">
        <v>2.9353733280028025</v>
      </c>
      <c r="H51" s="62">
        <v>9.0646341166278274E-3</v>
      </c>
      <c r="I51" s="62">
        <v>1.4712464111348373</v>
      </c>
      <c r="J51" s="62">
        <v>8.5639458700656199</v>
      </c>
      <c r="K51" s="62">
        <v>0.52082970168022646</v>
      </c>
      <c r="L51" s="62">
        <v>0.24576634376108358</v>
      </c>
      <c r="M51" s="58">
        <v>5.4606167989714622</v>
      </c>
      <c r="N51" s="62">
        <v>2.3626488828595194</v>
      </c>
      <c r="O51" s="62">
        <v>2.6637169502604419</v>
      </c>
      <c r="P51" s="62">
        <v>0.43425096585151074</v>
      </c>
      <c r="Q51" s="58">
        <v>80.793156912267477</v>
      </c>
      <c r="R51" s="62">
        <v>51.464025013185932</v>
      </c>
      <c r="S51" s="62">
        <v>26.110715662654698</v>
      </c>
      <c r="T51" s="62">
        <v>3.2184162364268563</v>
      </c>
    </row>
    <row r="52" spans="1:20" s="19" customFormat="1" ht="12.6" customHeight="1" x14ac:dyDescent="0.25">
      <c r="A52" s="37"/>
      <c r="B52" s="38" t="s">
        <v>51</v>
      </c>
      <c r="C52" s="36">
        <f>'D14'!C53</f>
        <v>0</v>
      </c>
      <c r="D52" s="60">
        <v>3404.3641334555932</v>
      </c>
      <c r="E52" s="61">
        <v>100</v>
      </c>
      <c r="F52" s="58">
        <v>11.904091245292566</v>
      </c>
      <c r="G52" s="62">
        <v>5.0427828581515435</v>
      </c>
      <c r="H52" s="62">
        <v>0</v>
      </c>
      <c r="I52" s="62">
        <v>0.90686494635178772</v>
      </c>
      <c r="J52" s="62">
        <v>5.8371426728319022</v>
      </c>
      <c r="K52" s="62">
        <v>0.11367837881714622</v>
      </c>
      <c r="L52" s="62">
        <v>3.6223891401769817E-3</v>
      </c>
      <c r="M52" s="58">
        <v>3.6437620909925279</v>
      </c>
      <c r="N52" s="62">
        <v>2.1972231056481939</v>
      </c>
      <c r="O52" s="62">
        <v>1.0229156578925769</v>
      </c>
      <c r="P52" s="62">
        <v>0.42362332745175724</v>
      </c>
      <c r="Q52" s="58">
        <v>84.452146663714984</v>
      </c>
      <c r="R52" s="62">
        <v>49.138180360735497</v>
      </c>
      <c r="S52" s="62">
        <v>33.617875716660677</v>
      </c>
      <c r="T52" s="62">
        <v>1.6960905863188513</v>
      </c>
    </row>
    <row r="53" spans="1:20" s="19" customFormat="1" ht="12.6" customHeight="1" x14ac:dyDescent="0.25">
      <c r="A53" s="37"/>
      <c r="B53" s="38" t="s">
        <v>52</v>
      </c>
      <c r="C53" s="36">
        <f>'D14'!C54</f>
        <v>0</v>
      </c>
      <c r="D53" s="60">
        <v>13374.300442284903</v>
      </c>
      <c r="E53" s="61">
        <v>100</v>
      </c>
      <c r="F53" s="58">
        <v>15.645597200528954</v>
      </c>
      <c r="G53" s="62">
        <v>6.8657983676451773</v>
      </c>
      <c r="H53" s="62">
        <v>0.53042881216049853</v>
      </c>
      <c r="I53" s="62">
        <v>1.6495570696591972</v>
      </c>
      <c r="J53" s="62">
        <v>4.7420555699539619</v>
      </c>
      <c r="K53" s="62">
        <v>1.8529321223791548</v>
      </c>
      <c r="L53" s="62">
        <v>4.8252587309342791E-3</v>
      </c>
      <c r="M53" s="58">
        <v>3.8625541050837753</v>
      </c>
      <c r="N53" s="62">
        <v>2.8029695607745957</v>
      </c>
      <c r="O53" s="62">
        <v>0.97812916274826445</v>
      </c>
      <c r="P53" s="62">
        <v>8.1455381560915668E-2</v>
      </c>
      <c r="Q53" s="58">
        <v>80.491848694386434</v>
      </c>
      <c r="R53" s="62">
        <v>51.931881379151044</v>
      </c>
      <c r="S53" s="62">
        <v>27.77772886096891</v>
      </c>
      <c r="T53" s="62">
        <v>0.78223845426627858</v>
      </c>
    </row>
    <row r="54" spans="1:20" s="19" customFormat="1" ht="12.6" customHeight="1" x14ac:dyDescent="0.25">
      <c r="A54" s="37"/>
      <c r="B54" s="38" t="s">
        <v>4</v>
      </c>
      <c r="C54" s="36">
        <f>'D14'!C55</f>
        <v>0</v>
      </c>
      <c r="D54" s="60">
        <v>4548.3211786937964</v>
      </c>
      <c r="E54" s="61">
        <v>100</v>
      </c>
      <c r="F54" s="58">
        <v>19.268629206026905</v>
      </c>
      <c r="G54" s="62">
        <v>10.963748302087971</v>
      </c>
      <c r="H54" s="62">
        <v>0.73491400380560279</v>
      </c>
      <c r="I54" s="62">
        <v>2.071980888559017</v>
      </c>
      <c r="J54" s="62">
        <v>4.8808925415532194</v>
      </c>
      <c r="K54" s="62">
        <v>0.61709347002111636</v>
      </c>
      <c r="L54" s="62">
        <v>0</v>
      </c>
      <c r="M54" s="58">
        <v>3.3296896663501232</v>
      </c>
      <c r="N54" s="62">
        <v>2.3439571507991159</v>
      </c>
      <c r="O54" s="62">
        <v>0.97752122946040565</v>
      </c>
      <c r="P54" s="62">
        <v>8.2112860906025219E-3</v>
      </c>
      <c r="Q54" s="58">
        <v>77.40168112762359</v>
      </c>
      <c r="R54" s="62">
        <v>35.543891447944745</v>
      </c>
      <c r="S54" s="62">
        <v>41.631265195114807</v>
      </c>
      <c r="T54" s="62">
        <v>0.22652448456388533</v>
      </c>
    </row>
    <row r="55" spans="1:20" s="19" customFormat="1" ht="12.6" customHeight="1" x14ac:dyDescent="0.25">
      <c r="A55" s="37"/>
      <c r="B55" s="38" t="s">
        <v>117</v>
      </c>
      <c r="C55" s="36">
        <f>'D14'!C56</f>
        <v>0</v>
      </c>
      <c r="D55" s="60">
        <v>26.031706307276469</v>
      </c>
      <c r="E55" s="61">
        <v>100</v>
      </c>
      <c r="F55" s="58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58">
        <v>0</v>
      </c>
      <c r="N55" s="62">
        <v>0</v>
      </c>
      <c r="O55" s="62">
        <v>0</v>
      </c>
      <c r="P55" s="62">
        <v>0</v>
      </c>
      <c r="Q55" s="58">
        <v>100</v>
      </c>
      <c r="R55" s="62">
        <v>73.073028608015406</v>
      </c>
      <c r="S55" s="62">
        <v>26.92697139198458</v>
      </c>
      <c r="T55" s="62">
        <v>0</v>
      </c>
    </row>
    <row r="56" spans="1:20" s="85" customFormat="1" ht="6.75" customHeight="1" x14ac:dyDescent="0.25">
      <c r="A56" s="39"/>
      <c r="B56" s="40"/>
      <c r="C56" s="82">
        <f>'D14'!C48</f>
        <v>0</v>
      </c>
      <c r="D56" s="94"/>
      <c r="E56" s="83"/>
      <c r="F56" s="95"/>
      <c r="G56" s="84"/>
      <c r="H56" s="84"/>
      <c r="I56" s="84"/>
      <c r="J56" s="84"/>
      <c r="K56" s="84"/>
      <c r="L56" s="84"/>
      <c r="M56" s="95"/>
      <c r="N56" s="84"/>
      <c r="O56" s="84"/>
      <c r="P56" s="84"/>
      <c r="Q56" s="95"/>
      <c r="R56" s="84"/>
      <c r="S56" s="84"/>
      <c r="T56" s="84"/>
    </row>
    <row r="57" spans="1:20" s="19" customFormat="1" ht="14.1" customHeight="1" x14ac:dyDescent="0.25">
      <c r="A57" s="37" t="s">
        <v>53</v>
      </c>
      <c r="B57" s="38"/>
      <c r="C57" s="36" t="str">
        <f>'D14'!C57</f>
        <v>***</v>
      </c>
      <c r="D57" s="60"/>
      <c r="E57" s="61"/>
      <c r="F57" s="58"/>
      <c r="G57" s="62"/>
      <c r="H57" s="62"/>
      <c r="I57" s="62"/>
      <c r="J57" s="62"/>
      <c r="K57" s="62"/>
      <c r="L57" s="62"/>
      <c r="M57" s="58"/>
      <c r="N57" s="62"/>
      <c r="O57" s="62"/>
      <c r="P57" s="62"/>
      <c r="Q57" s="58"/>
      <c r="R57" s="62"/>
      <c r="S57" s="62"/>
      <c r="T57" s="62"/>
    </row>
    <row r="58" spans="1:20" s="19" customFormat="1" ht="14.1" customHeight="1" x14ac:dyDescent="0.25">
      <c r="A58" s="37"/>
      <c r="B58" s="38" t="s">
        <v>54</v>
      </c>
      <c r="C58" s="36">
        <f>'D14'!C58</f>
        <v>0</v>
      </c>
      <c r="D58" s="60">
        <v>916.79981331676754</v>
      </c>
      <c r="E58" s="61">
        <v>100</v>
      </c>
      <c r="F58" s="58">
        <v>0.2454785925787252</v>
      </c>
      <c r="G58" s="62">
        <v>0</v>
      </c>
      <c r="H58" s="62">
        <v>0</v>
      </c>
      <c r="I58" s="62">
        <v>0</v>
      </c>
      <c r="J58" s="62">
        <v>0.24547859257872523</v>
      </c>
      <c r="K58" s="62">
        <v>0</v>
      </c>
      <c r="L58" s="62">
        <v>0</v>
      </c>
      <c r="M58" s="58">
        <v>8.7841195459459005</v>
      </c>
      <c r="N58" s="62">
        <v>2.9410006666292197</v>
      </c>
      <c r="O58" s="62">
        <v>3.3898933574130266</v>
      </c>
      <c r="P58" s="62">
        <v>2.4532255219036605</v>
      </c>
      <c r="Q58" s="58">
        <v>90.970401861475352</v>
      </c>
      <c r="R58" s="62">
        <v>52.003404179474579</v>
      </c>
      <c r="S58" s="62">
        <v>16.842013934466852</v>
      </c>
      <c r="T58" s="62">
        <v>22.124983747534003</v>
      </c>
    </row>
    <row r="59" spans="1:20" s="19" customFormat="1" ht="14.1" customHeight="1" x14ac:dyDescent="0.25">
      <c r="A59" s="37"/>
      <c r="B59" s="38" t="s">
        <v>55</v>
      </c>
      <c r="C59" s="36"/>
      <c r="D59" s="60">
        <v>10005.175874124969</v>
      </c>
      <c r="E59" s="61">
        <v>100</v>
      </c>
      <c r="F59" s="58">
        <v>6.1259700932328052</v>
      </c>
      <c r="G59" s="62">
        <v>2.3537265117216966</v>
      </c>
      <c r="H59" s="62">
        <v>2.3550910211194223E-2</v>
      </c>
      <c r="I59" s="62">
        <v>0.88077788443590499</v>
      </c>
      <c r="J59" s="62">
        <v>2.2534195889471857</v>
      </c>
      <c r="K59" s="62">
        <v>0.3788738239557321</v>
      </c>
      <c r="L59" s="62">
        <v>0.23562137396110067</v>
      </c>
      <c r="M59" s="58">
        <v>1.4123980792398609</v>
      </c>
      <c r="N59" s="62">
        <v>0.730014818885804</v>
      </c>
      <c r="O59" s="62">
        <v>0.664148338262743</v>
      </c>
      <c r="P59" s="62">
        <v>1.8234922091314477E-2</v>
      </c>
      <c r="Q59" s="58">
        <v>92.461631827527157</v>
      </c>
      <c r="R59" s="62">
        <v>54.173945332218011</v>
      </c>
      <c r="S59" s="62">
        <v>36.542505560246745</v>
      </c>
      <c r="T59" s="62">
        <v>1.7451809350624048</v>
      </c>
    </row>
    <row r="60" spans="1:20" s="19" customFormat="1" ht="14.1" customHeight="1" x14ac:dyDescent="0.25">
      <c r="A60" s="37"/>
      <c r="B60" s="38" t="s">
        <v>211</v>
      </c>
      <c r="C60" s="36"/>
      <c r="D60" s="60">
        <v>1821.8874154661123</v>
      </c>
      <c r="E60" s="61">
        <v>100</v>
      </c>
      <c r="F60" s="58">
        <v>12.332109835600704</v>
      </c>
      <c r="G60" s="62">
        <v>6.1014191323809719</v>
      </c>
      <c r="H60" s="62">
        <v>3.0908155156076179E-2</v>
      </c>
      <c r="I60" s="62">
        <v>0.66409760026281239</v>
      </c>
      <c r="J60" s="62">
        <v>5.056111095529654</v>
      </c>
      <c r="K60" s="62">
        <v>0.47957385227120053</v>
      </c>
      <c r="L60" s="62">
        <v>0</v>
      </c>
      <c r="M60" s="58">
        <v>5.4071392381476659</v>
      </c>
      <c r="N60" s="62">
        <v>3.523776426306195</v>
      </c>
      <c r="O60" s="62">
        <v>0.62296028225449229</v>
      </c>
      <c r="P60" s="62">
        <v>1.2604025295869756</v>
      </c>
      <c r="Q60" s="58">
        <v>82.260750926251731</v>
      </c>
      <c r="R60" s="62">
        <v>44.220773467088222</v>
      </c>
      <c r="S60" s="62">
        <v>36.232384505669017</v>
      </c>
      <c r="T60" s="62">
        <v>1.8075929534945427</v>
      </c>
    </row>
    <row r="61" spans="1:20" s="19" customFormat="1" ht="14.1" customHeight="1" x14ac:dyDescent="0.25">
      <c r="A61" s="37"/>
      <c r="B61" s="38" t="s">
        <v>212</v>
      </c>
      <c r="C61" s="36">
        <f>'D14'!C61</f>
        <v>0</v>
      </c>
      <c r="D61" s="60">
        <v>1166.1208051244635</v>
      </c>
      <c r="E61" s="61">
        <v>100</v>
      </c>
      <c r="F61" s="58">
        <v>8.1766238979900425</v>
      </c>
      <c r="G61" s="62">
        <v>3.9046244732013569</v>
      </c>
      <c r="H61" s="62">
        <v>0</v>
      </c>
      <c r="I61" s="62">
        <v>0.75161195054194252</v>
      </c>
      <c r="J61" s="62">
        <v>2.8719461226846459</v>
      </c>
      <c r="K61" s="62">
        <v>0.64844135156209726</v>
      </c>
      <c r="L61" s="62">
        <v>0</v>
      </c>
      <c r="M61" s="58">
        <v>4.2532216592978571</v>
      </c>
      <c r="N61" s="62">
        <v>2.0219897936496127</v>
      </c>
      <c r="O61" s="62">
        <v>1.6553589339554646</v>
      </c>
      <c r="P61" s="62">
        <v>0.5758729316927822</v>
      </c>
      <c r="Q61" s="58">
        <v>87.570154442712266</v>
      </c>
      <c r="R61" s="62">
        <v>68.438005641403109</v>
      </c>
      <c r="S61" s="62">
        <v>16.280497788440535</v>
      </c>
      <c r="T61" s="62">
        <v>2.8516510128686483</v>
      </c>
    </row>
    <row r="62" spans="1:20" s="19" customFormat="1" ht="14.1" customHeight="1" x14ac:dyDescent="0.25">
      <c r="A62" s="37"/>
      <c r="B62" s="38" t="s">
        <v>56</v>
      </c>
      <c r="C62" s="36">
        <f>'D14'!C62</f>
        <v>0</v>
      </c>
      <c r="D62" s="60">
        <v>12978.315234106369</v>
      </c>
      <c r="E62" s="61">
        <v>100</v>
      </c>
      <c r="F62" s="58">
        <v>17.742787281606553</v>
      </c>
      <c r="G62" s="62">
        <v>8.7672396302228375</v>
      </c>
      <c r="H62" s="62">
        <v>0.59074115670745875</v>
      </c>
      <c r="I62" s="62">
        <v>1.5943036739349223</v>
      </c>
      <c r="J62" s="62">
        <v>5.1183589962361768</v>
      </c>
      <c r="K62" s="62">
        <v>1.6704192672325351</v>
      </c>
      <c r="L62" s="62">
        <v>1.724557272634195E-3</v>
      </c>
      <c r="M62" s="58">
        <v>3.7363636438918277</v>
      </c>
      <c r="N62" s="62">
        <v>2.5260433781641578</v>
      </c>
      <c r="O62" s="62">
        <v>1.1793882823275874</v>
      </c>
      <c r="P62" s="62">
        <v>3.0931983400081031E-2</v>
      </c>
      <c r="Q62" s="58">
        <v>78.520849074500561</v>
      </c>
      <c r="R62" s="62">
        <v>50.252961315413437</v>
      </c>
      <c r="S62" s="62">
        <v>26.959267216392309</v>
      </c>
      <c r="T62" s="62">
        <v>1.3086205426945516</v>
      </c>
    </row>
    <row r="63" spans="1:20" s="19" customFormat="1" ht="14.1" customHeight="1" x14ac:dyDescent="0.25">
      <c r="A63" s="37"/>
      <c r="B63" s="38" t="s">
        <v>57</v>
      </c>
      <c r="C63" s="36">
        <f>'D14'!C63</f>
        <v>0</v>
      </c>
      <c r="D63" s="60">
        <v>2482.4557290902276</v>
      </c>
      <c r="E63" s="61">
        <v>100</v>
      </c>
      <c r="F63" s="58">
        <v>11.772960844260341</v>
      </c>
      <c r="G63" s="62">
        <v>3.4014028520527453</v>
      </c>
      <c r="H63" s="62">
        <v>0.89832284272797747</v>
      </c>
      <c r="I63" s="62">
        <v>1.2806843458368133</v>
      </c>
      <c r="J63" s="62">
        <v>5.1110858187700821</v>
      </c>
      <c r="K63" s="62">
        <v>1.0606040825855487</v>
      </c>
      <c r="L63" s="62">
        <v>2.0860902287187288E-2</v>
      </c>
      <c r="M63" s="58">
        <v>4.3868700233258684</v>
      </c>
      <c r="N63" s="62">
        <v>3.3973159596824183</v>
      </c>
      <c r="O63" s="62">
        <v>0.98955406364345</v>
      </c>
      <c r="P63" s="62">
        <v>0</v>
      </c>
      <c r="Q63" s="58">
        <v>83.840169132414346</v>
      </c>
      <c r="R63" s="62">
        <v>43.163805972626172</v>
      </c>
      <c r="S63" s="62">
        <v>40.637125296356963</v>
      </c>
      <c r="T63" s="62">
        <v>3.9237863431058451E-2</v>
      </c>
    </row>
    <row r="64" spans="1:20" s="19" customFormat="1" ht="14.1" customHeight="1" x14ac:dyDescent="0.25">
      <c r="A64" s="37"/>
      <c r="B64" s="38" t="s">
        <v>204</v>
      </c>
      <c r="C64" s="36">
        <f>'D14'!C64</f>
        <v>0</v>
      </c>
      <c r="D64" s="60">
        <v>134.72561850333122</v>
      </c>
      <c r="E64" s="61">
        <v>100</v>
      </c>
      <c r="F64" s="58">
        <v>27.066728875041985</v>
      </c>
      <c r="G64" s="62">
        <v>5.0099700700125211</v>
      </c>
      <c r="H64" s="62">
        <v>2.056632159591139</v>
      </c>
      <c r="I64" s="62">
        <v>2.9329012345136745</v>
      </c>
      <c r="J64" s="62">
        <v>17.067225410924657</v>
      </c>
      <c r="K64" s="62">
        <v>0</v>
      </c>
      <c r="L64" s="62">
        <v>0</v>
      </c>
      <c r="M64" s="58">
        <v>7.0615864290510837</v>
      </c>
      <c r="N64" s="62">
        <v>5.0031010772793119</v>
      </c>
      <c r="O64" s="62">
        <v>2.0584853517717705</v>
      </c>
      <c r="P64" s="62">
        <v>0</v>
      </c>
      <c r="Q64" s="58">
        <v>65.871684695906907</v>
      </c>
      <c r="R64" s="62">
        <v>64.646019666430306</v>
      </c>
      <c r="S64" s="62">
        <v>1.225665029476616</v>
      </c>
      <c r="T64" s="62">
        <v>0</v>
      </c>
    </row>
    <row r="65" spans="1:20" s="19" customFormat="1" ht="14.1" customHeight="1" x14ac:dyDescent="0.25">
      <c r="A65" s="37"/>
      <c r="B65" s="38" t="s">
        <v>58</v>
      </c>
      <c r="C65" s="36">
        <f>'D14'!C65</f>
        <v>0</v>
      </c>
      <c r="D65" s="60">
        <v>0</v>
      </c>
      <c r="E65" s="61">
        <v>0</v>
      </c>
      <c r="F65" s="58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58">
        <v>0</v>
      </c>
      <c r="N65" s="62">
        <v>0</v>
      </c>
      <c r="O65" s="62">
        <v>0</v>
      </c>
      <c r="P65" s="62">
        <v>0</v>
      </c>
      <c r="Q65" s="58">
        <v>0</v>
      </c>
      <c r="R65" s="62">
        <v>0</v>
      </c>
      <c r="S65" s="62">
        <v>0</v>
      </c>
      <c r="T65" s="62">
        <v>0</v>
      </c>
    </row>
    <row r="66" spans="1:20" s="19" customFormat="1" ht="14.1" customHeight="1" x14ac:dyDescent="0.25">
      <c r="A66" s="37"/>
      <c r="B66" s="38" t="s">
        <v>59</v>
      </c>
      <c r="C66" s="36">
        <f>'D14'!C66</f>
        <v>0</v>
      </c>
      <c r="D66" s="60">
        <v>0</v>
      </c>
      <c r="E66" s="61">
        <v>0</v>
      </c>
      <c r="F66" s="58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58">
        <v>0</v>
      </c>
      <c r="N66" s="62">
        <v>0</v>
      </c>
      <c r="O66" s="62">
        <v>0</v>
      </c>
      <c r="P66" s="62">
        <v>0</v>
      </c>
      <c r="Q66" s="58">
        <v>0</v>
      </c>
      <c r="R66" s="62">
        <v>0</v>
      </c>
      <c r="S66" s="62">
        <v>0</v>
      </c>
      <c r="T66" s="62">
        <v>0</v>
      </c>
    </row>
    <row r="67" spans="1:20" s="19" customFormat="1" ht="14.1" customHeight="1" x14ac:dyDescent="0.25">
      <c r="A67" s="37"/>
      <c r="B67" s="38" t="s">
        <v>61</v>
      </c>
      <c r="C67" s="36">
        <f>'D14'!C67</f>
        <v>0</v>
      </c>
      <c r="D67" s="60">
        <v>2534.823719631836</v>
      </c>
      <c r="E67" s="61">
        <v>100</v>
      </c>
      <c r="F67" s="58">
        <v>42.627360067283227</v>
      </c>
      <c r="G67" s="62">
        <v>9.053153142139303</v>
      </c>
      <c r="H67" s="62">
        <v>4.6881116366606232E-2</v>
      </c>
      <c r="I67" s="62">
        <v>4.9465396625626559</v>
      </c>
      <c r="J67" s="62">
        <v>27.496385751612863</v>
      </c>
      <c r="K67" s="62">
        <v>1.0779749459221464</v>
      </c>
      <c r="L67" s="62">
        <v>6.425448679694021E-3</v>
      </c>
      <c r="M67" s="58">
        <v>19.325464637845464</v>
      </c>
      <c r="N67" s="62">
        <v>10.312725157417519</v>
      </c>
      <c r="O67" s="62">
        <v>8.8081399899910124</v>
      </c>
      <c r="P67" s="62">
        <v>0.20459949043696293</v>
      </c>
      <c r="Q67" s="58">
        <v>38.04717529487143</v>
      </c>
      <c r="R67" s="62">
        <v>28.0805361500692</v>
      </c>
      <c r="S67" s="62">
        <v>9.9666391448022846</v>
      </c>
      <c r="T67" s="62">
        <v>0</v>
      </c>
    </row>
    <row r="68" spans="1:20" s="19" customFormat="1" ht="14.1" customHeight="1" x14ac:dyDescent="0.25">
      <c r="A68" s="37"/>
      <c r="B68" s="38" t="s">
        <v>60</v>
      </c>
      <c r="C68" s="36"/>
      <c r="D68" s="60">
        <v>0</v>
      </c>
      <c r="E68" s="61">
        <v>0</v>
      </c>
      <c r="F68" s="58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58">
        <v>0</v>
      </c>
      <c r="N68" s="62">
        <v>0</v>
      </c>
      <c r="O68" s="62">
        <v>0</v>
      </c>
      <c r="P68" s="62">
        <v>0</v>
      </c>
      <c r="Q68" s="58">
        <v>0</v>
      </c>
      <c r="R68" s="62">
        <v>0</v>
      </c>
      <c r="S68" s="62">
        <v>0</v>
      </c>
      <c r="T68" s="62">
        <v>0</v>
      </c>
    </row>
    <row r="69" spans="1:20" s="19" customFormat="1" ht="14.1" customHeight="1" x14ac:dyDescent="0.25">
      <c r="A69" s="37"/>
      <c r="B69" s="38" t="s">
        <v>117</v>
      </c>
      <c r="C69" s="36"/>
      <c r="D69" s="60">
        <v>74.667562526457004</v>
      </c>
      <c r="E69" s="61">
        <v>100</v>
      </c>
      <c r="F69" s="58">
        <v>14.776397714128636</v>
      </c>
      <c r="G69" s="62">
        <v>0</v>
      </c>
      <c r="H69" s="62">
        <v>0</v>
      </c>
      <c r="I69" s="62">
        <v>0.77670760427689345</v>
      </c>
      <c r="J69" s="62">
        <v>13.999690109851743</v>
      </c>
      <c r="K69" s="62">
        <v>0</v>
      </c>
      <c r="L69" s="62">
        <v>0</v>
      </c>
      <c r="M69" s="58">
        <v>0</v>
      </c>
      <c r="N69" s="62">
        <v>0</v>
      </c>
      <c r="O69" s="62">
        <v>0</v>
      </c>
      <c r="P69" s="62">
        <v>0</v>
      </c>
      <c r="Q69" s="58">
        <v>85.223602285871394</v>
      </c>
      <c r="R69" s="62">
        <v>41.949360207412866</v>
      </c>
      <c r="S69" s="62">
        <v>43.274242078458521</v>
      </c>
      <c r="T69" s="62">
        <v>0</v>
      </c>
    </row>
    <row r="70" spans="1:20" s="19" customFormat="1" ht="14.1" customHeight="1" x14ac:dyDescent="0.25">
      <c r="A70" s="37" t="s">
        <v>5</v>
      </c>
      <c r="B70" s="38"/>
      <c r="C70" s="36" t="str">
        <f>'D14'!C70</f>
        <v>***</v>
      </c>
      <c r="D70" s="60"/>
      <c r="E70" s="61"/>
      <c r="F70" s="58"/>
      <c r="G70" s="62"/>
      <c r="H70" s="62"/>
      <c r="I70" s="62"/>
      <c r="J70" s="62"/>
      <c r="K70" s="62"/>
      <c r="L70" s="62"/>
      <c r="M70" s="58"/>
      <c r="N70" s="62"/>
      <c r="O70" s="62"/>
      <c r="P70" s="62"/>
      <c r="Q70" s="58"/>
      <c r="R70" s="62"/>
      <c r="S70" s="62"/>
      <c r="T70" s="62"/>
    </row>
    <row r="71" spans="1:20" s="19" customFormat="1" ht="14.1" customHeight="1" x14ac:dyDescent="0.25">
      <c r="A71" s="37"/>
      <c r="B71" s="38" t="s">
        <v>6</v>
      </c>
      <c r="C71" s="36">
        <f>'D14'!C71</f>
        <v>0</v>
      </c>
      <c r="D71" s="60">
        <v>29161.584615271237</v>
      </c>
      <c r="E71" s="61">
        <v>100</v>
      </c>
      <c r="F71" s="58">
        <v>11.924702608583114</v>
      </c>
      <c r="G71" s="62">
        <v>5.4150586037894062</v>
      </c>
      <c r="H71" s="62">
        <v>0.34939163810905965</v>
      </c>
      <c r="I71" s="62">
        <v>1.1971585285061164</v>
      </c>
      <c r="J71" s="62">
        <v>3.8662371090704055</v>
      </c>
      <c r="K71" s="62">
        <v>1.0134730093074726</v>
      </c>
      <c r="L71" s="62">
        <v>8.338371980069785E-2</v>
      </c>
      <c r="M71" s="58">
        <v>3.2024318502209912</v>
      </c>
      <c r="N71" s="62">
        <v>1.9982085141816677</v>
      </c>
      <c r="O71" s="62">
        <v>1.0273089865956422</v>
      </c>
      <c r="P71" s="62">
        <v>0.17691434944368295</v>
      </c>
      <c r="Q71" s="58">
        <v>84.872865541196632</v>
      </c>
      <c r="R71" s="62">
        <v>51.339672652974372</v>
      </c>
      <c r="S71" s="62">
        <v>31.427120565467305</v>
      </c>
      <c r="T71" s="62">
        <v>2.1060723227542693</v>
      </c>
    </row>
    <row r="72" spans="1:20" s="19" customFormat="1" ht="14.1" customHeight="1" x14ac:dyDescent="0.25">
      <c r="A72" s="37"/>
      <c r="B72" s="38" t="s">
        <v>7</v>
      </c>
      <c r="C72" s="36">
        <f>'D14'!C72</f>
        <v>0</v>
      </c>
      <c r="D72" s="60">
        <v>2953.3871566191415</v>
      </c>
      <c r="E72" s="61">
        <v>100</v>
      </c>
      <c r="F72" s="58">
        <v>39.979847827754305</v>
      </c>
      <c r="G72" s="62">
        <v>9.1955674809290837</v>
      </c>
      <c r="H72" s="62">
        <v>0.13405503054901644</v>
      </c>
      <c r="I72" s="62">
        <v>4.3509483649861709</v>
      </c>
      <c r="J72" s="62">
        <v>25.308209734315309</v>
      </c>
      <c r="K72" s="62">
        <v>0.9855524033527393</v>
      </c>
      <c r="L72" s="62">
        <v>5.5148136220685246E-3</v>
      </c>
      <c r="M72" s="58">
        <v>17.920945660267066</v>
      </c>
      <c r="N72" s="62">
        <v>9.6633375794711629</v>
      </c>
      <c r="O72" s="62">
        <v>7.8647117021009834</v>
      </c>
      <c r="P72" s="62">
        <v>0.39289637869496735</v>
      </c>
      <c r="Q72" s="58">
        <v>42.099206511978608</v>
      </c>
      <c r="R72" s="62">
        <v>32.266192389709794</v>
      </c>
      <c r="S72" s="62">
        <v>9.8234273249508366</v>
      </c>
      <c r="T72" s="62">
        <v>9.5867973178599946E-3</v>
      </c>
    </row>
    <row r="73" spans="1:20" s="19" customFormat="1" ht="14.1" customHeight="1" x14ac:dyDescent="0.25">
      <c r="A73" s="37" t="s">
        <v>72</v>
      </c>
      <c r="B73" s="38"/>
      <c r="C73" s="36" t="str">
        <f>'D14'!C77</f>
        <v>***</v>
      </c>
      <c r="D73" s="60"/>
      <c r="E73" s="61"/>
      <c r="F73" s="58"/>
      <c r="G73" s="62"/>
      <c r="H73" s="62"/>
      <c r="I73" s="62"/>
      <c r="J73" s="62"/>
      <c r="K73" s="62"/>
      <c r="L73" s="62"/>
      <c r="M73" s="58"/>
      <c r="N73" s="62"/>
      <c r="O73" s="62"/>
      <c r="P73" s="62"/>
      <c r="Q73" s="58"/>
      <c r="R73" s="62"/>
      <c r="S73" s="62"/>
      <c r="T73" s="62"/>
    </row>
    <row r="74" spans="1:20" s="19" customFormat="1" ht="14.1" customHeight="1" x14ac:dyDescent="0.25">
      <c r="A74" s="37"/>
      <c r="B74" s="38" t="s">
        <v>123</v>
      </c>
      <c r="C74" s="36">
        <f>'D14'!C78</f>
        <v>0</v>
      </c>
      <c r="D74" s="60">
        <v>2475.5025039763027</v>
      </c>
      <c r="E74" s="61">
        <v>100</v>
      </c>
      <c r="F74" s="58">
        <v>18.562296559529099</v>
      </c>
      <c r="G74" s="62">
        <v>5.083368805886141</v>
      </c>
      <c r="H74" s="62">
        <v>0.18416905293395311</v>
      </c>
      <c r="I74" s="62">
        <v>2.8100073847421814</v>
      </c>
      <c r="J74" s="62">
        <v>10.347437755546618</v>
      </c>
      <c r="K74" s="62">
        <v>6.9163173858859159E-2</v>
      </c>
      <c r="L74" s="62">
        <v>6.8150386561338858E-2</v>
      </c>
      <c r="M74" s="58">
        <v>3.0930797748832894</v>
      </c>
      <c r="N74" s="62">
        <v>1.3043921297032617</v>
      </c>
      <c r="O74" s="62">
        <v>1.624358934088056</v>
      </c>
      <c r="P74" s="62">
        <v>0.16432871109197159</v>
      </c>
      <c r="Q74" s="58">
        <v>78.34462366558769</v>
      </c>
      <c r="R74" s="62">
        <v>40.958688290746714</v>
      </c>
      <c r="S74" s="62">
        <v>32.613361076721574</v>
      </c>
      <c r="T74" s="62">
        <v>4.7725742981193449</v>
      </c>
    </row>
    <row r="75" spans="1:20" s="19" customFormat="1" ht="14.1" customHeight="1" x14ac:dyDescent="0.25">
      <c r="A75" s="37"/>
      <c r="B75" s="38" t="s">
        <v>124</v>
      </c>
      <c r="C75" s="36">
        <f>'D14'!C79</f>
        <v>0</v>
      </c>
      <c r="D75" s="60">
        <v>10797.233105992802</v>
      </c>
      <c r="E75" s="61">
        <v>100</v>
      </c>
      <c r="F75" s="58">
        <v>12.894774761335468</v>
      </c>
      <c r="G75" s="62">
        <v>5.191790002078787</v>
      </c>
      <c r="H75" s="62">
        <v>0.12784143753019175</v>
      </c>
      <c r="I75" s="62">
        <v>1.2951388733466382</v>
      </c>
      <c r="J75" s="62">
        <v>4.8600885155381306</v>
      </c>
      <c r="K75" s="62">
        <v>1.4172003460672093</v>
      </c>
      <c r="L75" s="62">
        <v>2.7155867744939875E-3</v>
      </c>
      <c r="M75" s="58">
        <v>4.1622728619145191</v>
      </c>
      <c r="N75" s="62">
        <v>2.4351021898871563</v>
      </c>
      <c r="O75" s="62">
        <v>1.4444054636005459</v>
      </c>
      <c r="P75" s="62">
        <v>0.28276520842682085</v>
      </c>
      <c r="Q75" s="58">
        <v>82.942952376749886</v>
      </c>
      <c r="R75" s="62">
        <v>51.353968972428156</v>
      </c>
      <c r="S75" s="62">
        <v>30.224999835984065</v>
      </c>
      <c r="T75" s="62">
        <v>1.3639835683382315</v>
      </c>
    </row>
    <row r="76" spans="1:20" s="19" customFormat="1" ht="14.1" customHeight="1" x14ac:dyDescent="0.25">
      <c r="A76" s="37"/>
      <c r="B76" s="38" t="s">
        <v>219</v>
      </c>
      <c r="C76" s="36"/>
      <c r="D76" s="60">
        <v>1984.5860755793108</v>
      </c>
      <c r="E76" s="61">
        <v>100</v>
      </c>
      <c r="F76" s="58">
        <v>15.441901133430822</v>
      </c>
      <c r="G76" s="62">
        <v>6.9198455530526042</v>
      </c>
      <c r="H76" s="62">
        <v>2.8422840936482712E-2</v>
      </c>
      <c r="I76" s="62">
        <v>0.82194420626078268</v>
      </c>
      <c r="J76" s="62">
        <v>6.0078796425863885</v>
      </c>
      <c r="K76" s="62">
        <v>0.6273341443042546</v>
      </c>
      <c r="L76" s="62">
        <v>1.0364747462903015</v>
      </c>
      <c r="M76" s="58">
        <v>6.320338224663006</v>
      </c>
      <c r="N76" s="62">
        <v>4.6434200547502229</v>
      </c>
      <c r="O76" s="62">
        <v>1.6769181699127844</v>
      </c>
      <c r="P76" s="62">
        <v>0</v>
      </c>
      <c r="Q76" s="58">
        <v>78.237760641906263</v>
      </c>
      <c r="R76" s="62">
        <v>49.936234942092227</v>
      </c>
      <c r="S76" s="62">
        <v>26.579336077047891</v>
      </c>
      <c r="T76" s="62">
        <v>1.7221896227663156</v>
      </c>
    </row>
    <row r="77" spans="1:20" s="19" customFormat="1" ht="14.1" customHeight="1" x14ac:dyDescent="0.25">
      <c r="A77" s="37"/>
      <c r="B77" s="38" t="s">
        <v>214</v>
      </c>
      <c r="C77" s="36"/>
      <c r="D77" s="60">
        <v>751.08857502730359</v>
      </c>
      <c r="E77" s="61">
        <v>100</v>
      </c>
      <c r="F77" s="58">
        <v>11.236568375051677</v>
      </c>
      <c r="G77" s="62">
        <v>2.8759529816930076</v>
      </c>
      <c r="H77" s="62">
        <v>0.89681148674930067</v>
      </c>
      <c r="I77" s="62">
        <v>1.3491440525538521</v>
      </c>
      <c r="J77" s="62">
        <v>5.9948031773385004</v>
      </c>
      <c r="K77" s="62">
        <v>0.1067500056066167</v>
      </c>
      <c r="L77" s="62">
        <v>1.3106671110400109E-2</v>
      </c>
      <c r="M77" s="58">
        <v>8.3621817602392952</v>
      </c>
      <c r="N77" s="62">
        <v>4.5032059739337686</v>
      </c>
      <c r="O77" s="62">
        <v>3.8589757863055247</v>
      </c>
      <c r="P77" s="62">
        <v>0</v>
      </c>
      <c r="Q77" s="58">
        <v>80.401249864709328</v>
      </c>
      <c r="R77" s="62">
        <v>55.770083514330118</v>
      </c>
      <c r="S77" s="62">
        <v>21.394781286797169</v>
      </c>
      <c r="T77" s="62">
        <v>3.2363850635820226</v>
      </c>
    </row>
    <row r="78" spans="1:20" s="19" customFormat="1" ht="14.1" customHeight="1" x14ac:dyDescent="0.25">
      <c r="A78" s="37"/>
      <c r="B78" s="38" t="s">
        <v>216</v>
      </c>
      <c r="C78" s="36"/>
      <c r="D78" s="60">
        <v>651.77793150601053</v>
      </c>
      <c r="E78" s="61">
        <v>100</v>
      </c>
      <c r="F78" s="58">
        <v>13.326054962614219</v>
      </c>
      <c r="G78" s="62">
        <v>4.2566265795052978</v>
      </c>
      <c r="H78" s="62">
        <v>0.10277301236968331</v>
      </c>
      <c r="I78" s="62">
        <v>0.28713935373730154</v>
      </c>
      <c r="J78" s="62">
        <v>5.4327373451543712</v>
      </c>
      <c r="K78" s="62">
        <v>3.2301952082173484</v>
      </c>
      <c r="L78" s="62">
        <v>1.6583463630215015E-2</v>
      </c>
      <c r="M78" s="58">
        <v>6.212430607578634</v>
      </c>
      <c r="N78" s="62">
        <v>2.5350012334809882</v>
      </c>
      <c r="O78" s="62">
        <v>3.6774293740976476</v>
      </c>
      <c r="P78" s="62">
        <v>0</v>
      </c>
      <c r="Q78" s="58">
        <v>80.461514429807124</v>
      </c>
      <c r="R78" s="62">
        <v>55.981393551386617</v>
      </c>
      <c r="S78" s="62">
        <v>19.361116989139315</v>
      </c>
      <c r="T78" s="62">
        <v>5.1190038892812204</v>
      </c>
    </row>
    <row r="79" spans="1:20" s="19" customFormat="1" ht="14.1" customHeight="1" x14ac:dyDescent="0.25">
      <c r="A79" s="37"/>
      <c r="B79" s="38" t="s">
        <v>218</v>
      </c>
      <c r="C79" s="36">
        <f>'D14'!C83</f>
        <v>0</v>
      </c>
      <c r="D79" s="60">
        <v>2048.6112737986246</v>
      </c>
      <c r="E79" s="61">
        <v>100</v>
      </c>
      <c r="F79" s="58">
        <v>16.38904055119043</v>
      </c>
      <c r="G79" s="62">
        <v>3.6144945855775292</v>
      </c>
      <c r="H79" s="62">
        <v>0.27867811407277626</v>
      </c>
      <c r="I79" s="62">
        <v>2.0589344526981894</v>
      </c>
      <c r="J79" s="62">
        <v>10.249783817240885</v>
      </c>
      <c r="K79" s="62">
        <v>0.17414454347191596</v>
      </c>
      <c r="L79" s="62">
        <v>1.3005038129119174E-2</v>
      </c>
      <c r="M79" s="58">
        <v>7.948354411574913</v>
      </c>
      <c r="N79" s="62">
        <v>4.2652478848141566</v>
      </c>
      <c r="O79" s="62">
        <v>3.4454495665171132</v>
      </c>
      <c r="P79" s="62">
        <v>0.23765696024364269</v>
      </c>
      <c r="Q79" s="58">
        <v>75.662605037234599</v>
      </c>
      <c r="R79" s="62">
        <v>42.40967954712886</v>
      </c>
      <c r="S79" s="62">
        <v>30.109907591584445</v>
      </c>
      <c r="T79" s="62">
        <v>3.143017898521117</v>
      </c>
    </row>
    <row r="80" spans="1:20" s="19" customFormat="1" ht="14.1" customHeight="1" x14ac:dyDescent="0.25">
      <c r="A80" s="37"/>
      <c r="B80" s="38" t="s">
        <v>125</v>
      </c>
      <c r="C80" s="36">
        <f>'D14'!C84</f>
        <v>0</v>
      </c>
      <c r="D80" s="60">
        <v>9328.7910931371789</v>
      </c>
      <c r="E80" s="61">
        <v>100</v>
      </c>
      <c r="F80" s="58">
        <v>14.548212320271004</v>
      </c>
      <c r="G80" s="62">
        <v>5.9110205328759307</v>
      </c>
      <c r="H80" s="62">
        <v>0.63117387032715788</v>
      </c>
      <c r="I80" s="62">
        <v>1.4851869458150397</v>
      </c>
      <c r="J80" s="62">
        <v>5.4837539443614007</v>
      </c>
      <c r="K80" s="62">
        <v>1.0214701943109885</v>
      </c>
      <c r="L80" s="62">
        <v>1.5606832580470801E-2</v>
      </c>
      <c r="M80" s="58">
        <v>3.7458326167957088</v>
      </c>
      <c r="N80" s="62">
        <v>2.3103658420187152</v>
      </c>
      <c r="O80" s="62">
        <v>1.1827180351017961</v>
      </c>
      <c r="P80" s="62">
        <v>0.25274873967519745</v>
      </c>
      <c r="Q80" s="58">
        <v>81.705955062933498</v>
      </c>
      <c r="R80" s="62">
        <v>49.800611631492636</v>
      </c>
      <c r="S80" s="62">
        <v>30.396104661619166</v>
      </c>
      <c r="T80" s="62">
        <v>1.5092387698217822</v>
      </c>
    </row>
    <row r="81" spans="1:20" s="19" customFormat="1" ht="14.1" customHeight="1" x14ac:dyDescent="0.25">
      <c r="A81" s="37"/>
      <c r="B81" s="38" t="s">
        <v>161</v>
      </c>
      <c r="C81" s="36">
        <f>'D14'!C85</f>
        <v>0</v>
      </c>
      <c r="D81" s="60">
        <v>3216.4088600414448</v>
      </c>
      <c r="E81" s="61">
        <v>100</v>
      </c>
      <c r="F81" s="58">
        <v>16.895666968637642</v>
      </c>
      <c r="G81" s="62">
        <v>9.933719213557124</v>
      </c>
      <c r="H81" s="62">
        <v>0.44061457458004122</v>
      </c>
      <c r="I81" s="62">
        <v>1.4398287601394479</v>
      </c>
      <c r="J81" s="62">
        <v>4.3625601822865594</v>
      </c>
      <c r="K81" s="62">
        <v>0.71894423807447438</v>
      </c>
      <c r="L81" s="62">
        <v>0</v>
      </c>
      <c r="M81" s="58">
        <v>4.4430362576562006</v>
      </c>
      <c r="N81" s="62">
        <v>3.0173674481169557</v>
      </c>
      <c r="O81" s="62">
        <v>1.4210385012178552</v>
      </c>
      <c r="P81" s="62">
        <v>4.6303083213901442E-3</v>
      </c>
      <c r="Q81" s="58">
        <v>78.661296773705999</v>
      </c>
      <c r="R81" s="62">
        <v>50.006082034931616</v>
      </c>
      <c r="S81" s="62">
        <v>27.606336559289872</v>
      </c>
      <c r="T81" s="62">
        <v>1.048878179484694</v>
      </c>
    </row>
    <row r="82" spans="1:20" s="19" customFormat="1" ht="14.1" customHeight="1" x14ac:dyDescent="0.25">
      <c r="A82" s="37"/>
      <c r="B82" s="38" t="s">
        <v>162</v>
      </c>
      <c r="C82" s="36">
        <f>'D14'!C86</f>
        <v>0</v>
      </c>
      <c r="D82" s="60">
        <v>678.78683304079539</v>
      </c>
      <c r="E82" s="61">
        <v>100</v>
      </c>
      <c r="F82" s="58">
        <v>11.219007036577102</v>
      </c>
      <c r="G82" s="62">
        <v>4.1740209258550509</v>
      </c>
      <c r="H82" s="62">
        <v>0.11096108847551125</v>
      </c>
      <c r="I82" s="62">
        <v>0.4571299896500633</v>
      </c>
      <c r="J82" s="62">
        <v>4.4684026097797505</v>
      </c>
      <c r="K82" s="62">
        <v>2.0084924228167247</v>
      </c>
      <c r="L82" s="62">
        <v>0</v>
      </c>
      <c r="M82" s="58">
        <v>6.8074387582043245</v>
      </c>
      <c r="N82" s="62">
        <v>4.3118959465402424</v>
      </c>
      <c r="O82" s="62">
        <v>2.4955428116640834</v>
      </c>
      <c r="P82" s="62">
        <v>0</v>
      </c>
      <c r="Q82" s="58">
        <v>81.973554205218647</v>
      </c>
      <c r="R82" s="62">
        <v>56.353432494693017</v>
      </c>
      <c r="S82" s="62">
        <v>24.573439508402011</v>
      </c>
      <c r="T82" s="62">
        <v>1.046682202123655</v>
      </c>
    </row>
    <row r="83" spans="1:20" s="19" customFormat="1" ht="14.1" customHeight="1" x14ac:dyDescent="0.25">
      <c r="A83" s="37"/>
      <c r="B83" s="38" t="s">
        <v>75</v>
      </c>
      <c r="C83" s="36">
        <f>'D14'!C87</f>
        <v>0</v>
      </c>
      <c r="D83" s="60">
        <v>182.1855197905401</v>
      </c>
      <c r="E83" s="61">
        <v>100</v>
      </c>
      <c r="F83" s="58">
        <v>8.8839666822199401</v>
      </c>
      <c r="G83" s="62">
        <v>2.3594556463291472</v>
      </c>
      <c r="H83" s="62">
        <v>0</v>
      </c>
      <c r="I83" s="62">
        <v>5.3514375007429447</v>
      </c>
      <c r="J83" s="62">
        <v>1.1730735351478483</v>
      </c>
      <c r="K83" s="62">
        <v>0</v>
      </c>
      <c r="L83" s="62">
        <v>0</v>
      </c>
      <c r="M83" s="58">
        <v>3.8740843920368997</v>
      </c>
      <c r="N83" s="62">
        <v>0.63989617221995232</v>
      </c>
      <c r="O83" s="62">
        <v>3.2341882198169483</v>
      </c>
      <c r="P83" s="62">
        <v>0</v>
      </c>
      <c r="Q83" s="58">
        <v>87.241948925743145</v>
      </c>
      <c r="R83" s="62">
        <v>46.852065593340186</v>
      </c>
      <c r="S83" s="62">
        <v>34.266662408245033</v>
      </c>
      <c r="T83" s="62">
        <v>6.1232209241579518</v>
      </c>
    </row>
    <row r="84" spans="1:20" s="52" customFormat="1" ht="14.1" customHeight="1" x14ac:dyDescent="0.25">
      <c r="A84" s="63"/>
      <c r="B84" s="64"/>
      <c r="C84" s="65"/>
      <c r="D84" s="66"/>
      <c r="E84" s="67"/>
      <c r="F84" s="68"/>
      <c r="G84" s="69"/>
      <c r="H84" s="69"/>
      <c r="I84" s="69"/>
      <c r="J84" s="69"/>
      <c r="K84" s="69"/>
      <c r="L84" s="69"/>
      <c r="M84" s="68"/>
      <c r="N84" s="69"/>
      <c r="O84" s="69"/>
      <c r="P84" s="69"/>
      <c r="Q84" s="68"/>
      <c r="R84" s="69"/>
      <c r="S84" s="69"/>
      <c r="T84" s="69"/>
    </row>
    <row r="85" spans="1:20" s="73" customFormat="1" ht="14.1" customHeight="1" x14ac:dyDescent="0.25">
      <c r="A85" s="30"/>
      <c r="B85" s="70"/>
      <c r="C85" s="108"/>
      <c r="D85" s="145"/>
      <c r="E85" s="110"/>
      <c r="F85" s="72"/>
      <c r="G85" s="71"/>
      <c r="H85" s="71"/>
      <c r="I85" s="71"/>
      <c r="J85" s="71"/>
      <c r="K85" s="71"/>
      <c r="L85" s="71"/>
      <c r="M85" s="72"/>
      <c r="N85" s="71"/>
      <c r="O85" s="71"/>
      <c r="P85" s="71"/>
      <c r="Q85" s="72"/>
      <c r="R85" s="71"/>
      <c r="S85" s="71"/>
      <c r="T85" s="71"/>
    </row>
    <row r="86" spans="1:20" s="19" customFormat="1" ht="14.1" customHeight="1" x14ac:dyDescent="0.25">
      <c r="A86" s="37" t="s">
        <v>62</v>
      </c>
      <c r="B86" s="38"/>
      <c r="C86" s="36" t="s">
        <v>19</v>
      </c>
      <c r="D86" s="60"/>
      <c r="E86" s="61"/>
      <c r="F86" s="58"/>
      <c r="G86" s="62"/>
      <c r="H86" s="62"/>
      <c r="I86" s="62"/>
      <c r="J86" s="62"/>
      <c r="K86" s="62"/>
      <c r="L86" s="62"/>
      <c r="M86" s="58"/>
      <c r="N86" s="62"/>
      <c r="O86" s="62"/>
      <c r="P86" s="62"/>
      <c r="Q86" s="58"/>
      <c r="R86" s="62"/>
      <c r="S86" s="62"/>
      <c r="T86" s="62"/>
    </row>
    <row r="87" spans="1:20" s="19" customFormat="1" ht="14.1" customHeight="1" x14ac:dyDescent="0.25">
      <c r="A87" s="37"/>
      <c r="B87" s="38" t="s">
        <v>129</v>
      </c>
      <c r="C87" s="36"/>
      <c r="D87" s="60">
        <v>25693.973035446161</v>
      </c>
      <c r="E87" s="61">
        <v>100</v>
      </c>
      <c r="F87" s="58">
        <v>17.012821241098383</v>
      </c>
      <c r="G87" s="62">
        <v>4.8087358577432484</v>
      </c>
      <c r="H87" s="62">
        <v>8.2752811974850404E-2</v>
      </c>
      <c r="I87" s="62">
        <v>1.3535472803938313</v>
      </c>
      <c r="J87" s="62">
        <v>9.5694363160557643</v>
      </c>
      <c r="K87" s="62">
        <v>1.1907748740271313</v>
      </c>
      <c r="L87" s="62">
        <v>7.5741009035356216E-3</v>
      </c>
      <c r="M87" s="58">
        <v>6.4738002066832401</v>
      </c>
      <c r="N87" s="62">
        <v>2.4888486723655805</v>
      </c>
      <c r="O87" s="62">
        <v>3.9849515343176494</v>
      </c>
      <c r="P87" s="62">
        <v>0</v>
      </c>
      <c r="Q87" s="58">
        <v>76.513378552219493</v>
      </c>
      <c r="R87" s="62">
        <v>49.735899160246042</v>
      </c>
      <c r="S87" s="62">
        <v>25.434092782760239</v>
      </c>
      <c r="T87" s="62">
        <v>1.3433866092130797</v>
      </c>
    </row>
    <row r="88" spans="1:20" s="19" customFormat="1" ht="14.1" customHeight="1" x14ac:dyDescent="0.25">
      <c r="A88" s="37"/>
      <c r="B88" s="38" t="s">
        <v>130</v>
      </c>
      <c r="C88" s="36"/>
      <c r="D88" s="60">
        <v>40774.008633738857</v>
      </c>
      <c r="E88" s="61">
        <v>100</v>
      </c>
      <c r="F88" s="58">
        <v>16.886714024388443</v>
      </c>
      <c r="G88" s="62">
        <v>4.8302763755774656</v>
      </c>
      <c r="H88" s="62">
        <v>0.11747947076739061</v>
      </c>
      <c r="I88" s="62">
        <v>1.6289892123236565</v>
      </c>
      <c r="J88" s="62">
        <v>9.7207484671492992</v>
      </c>
      <c r="K88" s="62">
        <v>0.55736761269283963</v>
      </c>
      <c r="L88" s="62">
        <v>3.1852885877737769E-2</v>
      </c>
      <c r="M88" s="58">
        <v>5.2960690689877259</v>
      </c>
      <c r="N88" s="62">
        <v>2.1647417249142209</v>
      </c>
      <c r="O88" s="62">
        <v>3.1313273440735117</v>
      </c>
      <c r="P88" s="62">
        <v>0</v>
      </c>
      <c r="Q88" s="58">
        <v>77.817216906625447</v>
      </c>
      <c r="R88" s="62">
        <v>49.562023949081201</v>
      </c>
      <c r="S88" s="62">
        <v>25.014076860453514</v>
      </c>
      <c r="T88" s="62">
        <v>3.2411160970899573</v>
      </c>
    </row>
    <row r="89" spans="1:20" s="19" customFormat="1" ht="14.1" customHeight="1" x14ac:dyDescent="0.25">
      <c r="A89" s="37"/>
      <c r="B89" s="38" t="s">
        <v>131</v>
      </c>
      <c r="C89" s="36"/>
      <c r="D89" s="60">
        <v>40339.976967067261</v>
      </c>
      <c r="E89" s="61">
        <v>100</v>
      </c>
      <c r="F89" s="58">
        <v>17.127866115976722</v>
      </c>
      <c r="G89" s="62">
        <v>5.1639412257956163</v>
      </c>
      <c r="H89" s="62">
        <v>0.12161476055149731</v>
      </c>
      <c r="I89" s="62">
        <v>1.829906922293147</v>
      </c>
      <c r="J89" s="62">
        <v>9.3734720014991559</v>
      </c>
      <c r="K89" s="62">
        <v>0.58003677956951794</v>
      </c>
      <c r="L89" s="62">
        <v>5.8894426267782365E-2</v>
      </c>
      <c r="M89" s="58">
        <v>4.9386503236791146</v>
      </c>
      <c r="N89" s="62">
        <v>2.0239856705450361</v>
      </c>
      <c r="O89" s="62">
        <v>2.9146646531340803</v>
      </c>
      <c r="P89" s="62">
        <v>0</v>
      </c>
      <c r="Q89" s="58">
        <v>77.933483560342751</v>
      </c>
      <c r="R89" s="62">
        <v>50.392683401977166</v>
      </c>
      <c r="S89" s="62">
        <v>25.410004405495744</v>
      </c>
      <c r="T89" s="62">
        <v>2.130795752869012</v>
      </c>
    </row>
    <row r="90" spans="1:20" s="19" customFormat="1" ht="14.1" customHeight="1" x14ac:dyDescent="0.25">
      <c r="A90" s="37"/>
      <c r="B90" s="38" t="s">
        <v>132</v>
      </c>
      <c r="C90" s="36"/>
      <c r="D90" s="60">
        <v>40634.30499852819</v>
      </c>
      <c r="E90" s="61">
        <v>100</v>
      </c>
      <c r="F90" s="58">
        <v>17.143305307376004</v>
      </c>
      <c r="G90" s="62">
        <v>4.8727495927299644</v>
      </c>
      <c r="H90" s="62">
        <v>0.14850357041226595</v>
      </c>
      <c r="I90" s="62">
        <v>1.836952605835894</v>
      </c>
      <c r="J90" s="62">
        <v>9.6824175202020619</v>
      </c>
      <c r="K90" s="62">
        <v>0.58573652784673769</v>
      </c>
      <c r="L90" s="62">
        <v>1.6945490349094115E-2</v>
      </c>
      <c r="M90" s="58">
        <v>6.1095793239842076</v>
      </c>
      <c r="N90" s="62">
        <v>2.7498716976179085</v>
      </c>
      <c r="O90" s="62">
        <v>3.3597076263663137</v>
      </c>
      <c r="P90" s="62">
        <v>0</v>
      </c>
      <c r="Q90" s="58">
        <v>76.747115368639001</v>
      </c>
      <c r="R90" s="62">
        <v>50.193735781144589</v>
      </c>
      <c r="S90" s="62">
        <v>24.43151941641845</v>
      </c>
      <c r="T90" s="62">
        <v>2.1218601710758516</v>
      </c>
    </row>
    <row r="91" spans="1:20" s="19" customFormat="1" ht="14.1" customHeight="1" x14ac:dyDescent="0.25">
      <c r="A91" s="37"/>
      <c r="B91" s="38" t="s">
        <v>133</v>
      </c>
      <c r="C91" s="36"/>
      <c r="D91" s="60">
        <v>38863.636340750643</v>
      </c>
      <c r="E91" s="61">
        <v>100</v>
      </c>
      <c r="F91" s="58">
        <v>16.943328816635034</v>
      </c>
      <c r="G91" s="62">
        <v>5.7720029133034449</v>
      </c>
      <c r="H91" s="62">
        <v>0.11749396025124294</v>
      </c>
      <c r="I91" s="62">
        <v>1.639085810024929</v>
      </c>
      <c r="J91" s="62">
        <v>8.7570647091745322</v>
      </c>
      <c r="K91" s="62">
        <v>0.6305894869341343</v>
      </c>
      <c r="L91" s="62">
        <v>2.7091936946719294E-2</v>
      </c>
      <c r="M91" s="58">
        <v>5.3770629345798682</v>
      </c>
      <c r="N91" s="62">
        <v>2.2885924125984562</v>
      </c>
      <c r="O91" s="62">
        <v>3.0884705219814044</v>
      </c>
      <c r="P91" s="62">
        <v>0</v>
      </c>
      <c r="Q91" s="58">
        <v>77.679059208691584</v>
      </c>
      <c r="R91" s="62">
        <v>50.669752946901767</v>
      </c>
      <c r="S91" s="62">
        <v>25.688511809933303</v>
      </c>
      <c r="T91" s="62">
        <v>1.3207944518569157</v>
      </c>
    </row>
    <row r="92" spans="1:20" s="19" customFormat="1" ht="14.1" customHeight="1" x14ac:dyDescent="0.25">
      <c r="A92" s="37"/>
      <c r="B92" s="38" t="s">
        <v>134</v>
      </c>
      <c r="C92" s="36"/>
      <c r="D92" s="60">
        <v>39806.175403117843</v>
      </c>
      <c r="E92" s="61">
        <v>100</v>
      </c>
      <c r="F92" s="58">
        <v>18.001017772311506</v>
      </c>
      <c r="G92" s="62">
        <v>6.1837082658161</v>
      </c>
      <c r="H92" s="62">
        <v>0.19375495087478187</v>
      </c>
      <c r="I92" s="62">
        <v>1.6413655957972269</v>
      </c>
      <c r="J92" s="62">
        <v>8.8830890346872344</v>
      </c>
      <c r="K92" s="62">
        <v>1.0593850672976806</v>
      </c>
      <c r="L92" s="62">
        <v>3.9714857838525186E-2</v>
      </c>
      <c r="M92" s="58">
        <v>5.1789867211683838</v>
      </c>
      <c r="N92" s="62">
        <v>2.5150805284572124</v>
      </c>
      <c r="O92" s="62">
        <v>2.66390619271119</v>
      </c>
      <c r="P92" s="62">
        <v>0</v>
      </c>
      <c r="Q92" s="58">
        <v>76.819995506519788</v>
      </c>
      <c r="R92" s="62">
        <v>50.673306890695663</v>
      </c>
      <c r="S92" s="62">
        <v>24.780550640693392</v>
      </c>
      <c r="T92" s="62">
        <v>1.3661379751313769</v>
      </c>
    </row>
    <row r="93" spans="1:20" s="19" customFormat="1" ht="14.1" customHeight="1" x14ac:dyDescent="0.25">
      <c r="A93" s="37"/>
      <c r="B93" s="38" t="s">
        <v>135</v>
      </c>
      <c r="C93" s="36"/>
      <c r="D93" s="60">
        <v>39193.16711466691</v>
      </c>
      <c r="E93" s="61">
        <v>100</v>
      </c>
      <c r="F93" s="58">
        <v>17.646670881844262</v>
      </c>
      <c r="G93" s="62">
        <v>5.9156047210409071</v>
      </c>
      <c r="H93" s="62">
        <v>0.17283587849899848</v>
      </c>
      <c r="I93" s="62">
        <v>1.9683274112697935</v>
      </c>
      <c r="J93" s="62">
        <v>8.7095183977279653</v>
      </c>
      <c r="K93" s="62">
        <v>0.83946173015436376</v>
      </c>
      <c r="L93" s="62">
        <v>4.0922743152243521E-2</v>
      </c>
      <c r="M93" s="58">
        <v>4.824958479110169</v>
      </c>
      <c r="N93" s="62">
        <v>2.187509962914465</v>
      </c>
      <c r="O93" s="62">
        <v>2.6374485161957124</v>
      </c>
      <c r="P93" s="62">
        <v>0</v>
      </c>
      <c r="Q93" s="58">
        <v>77.528007784345647</v>
      </c>
      <c r="R93" s="62">
        <v>50.900461078934654</v>
      </c>
      <c r="S93" s="62">
        <v>25.309355552283897</v>
      </c>
      <c r="T93" s="62">
        <v>1.3181911531256434</v>
      </c>
    </row>
    <row r="94" spans="1:20" s="19" customFormat="1" ht="14.1" customHeight="1" x14ac:dyDescent="0.25">
      <c r="A94" s="37"/>
      <c r="B94" s="38" t="s">
        <v>136</v>
      </c>
      <c r="C94" s="36"/>
      <c r="D94" s="60">
        <v>39915.078031509387</v>
      </c>
      <c r="E94" s="61">
        <v>100</v>
      </c>
      <c r="F94" s="58">
        <v>17.905500888313089</v>
      </c>
      <c r="G94" s="62">
        <v>6.2971454789591839</v>
      </c>
      <c r="H94" s="62">
        <v>9.5263486176122597E-2</v>
      </c>
      <c r="I94" s="62">
        <v>1.4752977195700021</v>
      </c>
      <c r="J94" s="62">
        <v>9.3436430204904752</v>
      </c>
      <c r="K94" s="62">
        <v>0.66094429130091459</v>
      </c>
      <c r="L94" s="62">
        <v>3.3206891816407492E-2</v>
      </c>
      <c r="M94" s="58">
        <v>5.4648931779138596</v>
      </c>
      <c r="N94" s="62">
        <v>2.5101482378819528</v>
      </c>
      <c r="O94" s="62">
        <v>2.9547449400318997</v>
      </c>
      <c r="P94" s="62">
        <v>0</v>
      </c>
      <c r="Q94" s="58">
        <v>76.629605933774073</v>
      </c>
      <c r="R94" s="62">
        <v>51.413285347209339</v>
      </c>
      <c r="S94" s="62">
        <v>23.994973270547494</v>
      </c>
      <c r="T94" s="62">
        <v>1.2213473160174311</v>
      </c>
    </row>
    <row r="95" spans="1:20" s="19" customFormat="1" ht="14.1" customHeight="1" x14ac:dyDescent="0.25">
      <c r="A95" s="37"/>
      <c r="B95" s="38" t="s">
        <v>192</v>
      </c>
      <c r="C95" s="36"/>
      <c r="D95" s="60">
        <v>36247.465912882792</v>
      </c>
      <c r="E95" s="61">
        <v>100</v>
      </c>
      <c r="F95" s="58">
        <v>15.503320242245891</v>
      </c>
      <c r="G95" s="62">
        <v>5.6034694835596754</v>
      </c>
      <c r="H95" s="62">
        <v>0.19778334147250429</v>
      </c>
      <c r="I95" s="62">
        <v>1.5652467522585287</v>
      </c>
      <c r="J95" s="62">
        <v>7.3741586997641431</v>
      </c>
      <c r="K95" s="62">
        <v>0.73914788268858467</v>
      </c>
      <c r="L95" s="62">
        <v>2.3514082502502056E-2</v>
      </c>
      <c r="M95" s="58">
        <v>5.2393507784063154</v>
      </c>
      <c r="N95" s="62">
        <v>3.0054699519460599</v>
      </c>
      <c r="O95" s="62">
        <v>2.2338808264602279</v>
      </c>
      <c r="P95" s="62">
        <v>0</v>
      </c>
      <c r="Q95" s="58">
        <v>79.257328979347022</v>
      </c>
      <c r="R95" s="62">
        <v>50.164044402390473</v>
      </c>
      <c r="S95" s="62">
        <v>27.588244174043126</v>
      </c>
      <c r="T95" s="62">
        <v>1.5050404029147011</v>
      </c>
    </row>
    <row r="96" spans="1:20" s="19" customFormat="1" ht="14.1" customHeight="1" x14ac:dyDescent="0.25">
      <c r="A96" s="37"/>
      <c r="B96" s="38" t="s">
        <v>195</v>
      </c>
      <c r="C96" s="36"/>
      <c r="D96" s="60">
        <v>34241.418571881943</v>
      </c>
      <c r="E96" s="61">
        <v>100</v>
      </c>
      <c r="F96" s="58">
        <v>14.548848609900546</v>
      </c>
      <c r="G96" s="62">
        <v>5.6101690807156821</v>
      </c>
      <c r="H96" s="62">
        <v>0.11014118038487798</v>
      </c>
      <c r="I96" s="62">
        <v>1.4794363551651315</v>
      </c>
      <c r="J96" s="62">
        <v>6.1180588842432169</v>
      </c>
      <c r="K96" s="62">
        <v>1.1952487845445827</v>
      </c>
      <c r="L96" s="62">
        <v>3.5794324847099747E-2</v>
      </c>
      <c r="M96" s="58">
        <v>5.1871876738813834</v>
      </c>
      <c r="N96" s="62">
        <v>3.1423040337925023</v>
      </c>
      <c r="O96" s="62">
        <v>1.8379182941588779</v>
      </c>
      <c r="P96" s="62">
        <v>0.20696534593000315</v>
      </c>
      <c r="Q96" s="58">
        <v>80.263963716218854</v>
      </c>
      <c r="R96" s="62">
        <v>51.354983337801805</v>
      </c>
      <c r="S96" s="62">
        <v>27.163708929014664</v>
      </c>
      <c r="T96" s="62">
        <v>1.7452714494040957</v>
      </c>
    </row>
    <row r="97" spans="1:20" s="19" customFormat="1" ht="14.1" customHeight="1" x14ac:dyDescent="0.25">
      <c r="A97" s="37"/>
      <c r="B97" s="38" t="s">
        <v>206</v>
      </c>
      <c r="C97" s="36"/>
      <c r="D97" s="60">
        <f t="shared" ref="D97:T97" si="0">D$9</f>
        <v>32114.971771890407</v>
      </c>
      <c r="E97" s="61">
        <f t="shared" si="0"/>
        <v>100</v>
      </c>
      <c r="F97" s="58">
        <f t="shared" si="0"/>
        <v>14.504736187809653</v>
      </c>
      <c r="G97" s="62">
        <f t="shared" si="0"/>
        <v>5.7627253071119187</v>
      </c>
      <c r="H97" s="62">
        <f t="shared" si="0"/>
        <v>0.32958865102767498</v>
      </c>
      <c r="I97" s="62">
        <f t="shared" si="0"/>
        <v>1.4871903075746191</v>
      </c>
      <c r="J97" s="62">
        <f t="shared" si="0"/>
        <v>5.8381039073281995</v>
      </c>
      <c r="K97" s="62">
        <f t="shared" si="0"/>
        <v>1.0109053483542738</v>
      </c>
      <c r="L97" s="62">
        <f t="shared" si="0"/>
        <v>7.6222666412843351E-2</v>
      </c>
      <c r="M97" s="58">
        <f t="shared" si="0"/>
        <v>4.5559896225855887</v>
      </c>
      <c r="N97" s="62">
        <f t="shared" si="0"/>
        <v>2.7031163028619818</v>
      </c>
      <c r="O97" s="62">
        <f t="shared" si="0"/>
        <v>1.6560966283235794</v>
      </c>
      <c r="P97" s="62">
        <f t="shared" si="0"/>
        <v>0.19677669140001616</v>
      </c>
      <c r="Q97" s="58">
        <f t="shared" si="0"/>
        <v>80.939274189605584</v>
      </c>
      <c r="R97" s="62">
        <f t="shared" si="0"/>
        <v>49.585619370858183</v>
      </c>
      <c r="S97" s="62">
        <f t="shared" si="0"/>
        <v>29.440381464300472</v>
      </c>
      <c r="T97" s="62">
        <f t="shared" si="0"/>
        <v>1.9132733544462419</v>
      </c>
    </row>
    <row r="98" spans="1:20" s="151" customFormat="1" ht="3.75" customHeight="1" x14ac:dyDescent="0.25">
      <c r="A98" s="39"/>
      <c r="B98" s="40"/>
      <c r="C98" s="82"/>
      <c r="D98" s="147"/>
      <c r="E98" s="148"/>
      <c r="F98" s="149"/>
      <c r="G98" s="150"/>
      <c r="H98" s="150"/>
      <c r="I98" s="150"/>
      <c r="J98" s="150"/>
      <c r="K98" s="150"/>
      <c r="L98" s="150"/>
      <c r="M98" s="149"/>
      <c r="N98" s="150"/>
      <c r="O98" s="150"/>
      <c r="P98" s="150"/>
      <c r="Q98" s="149"/>
      <c r="R98" s="150"/>
      <c r="S98" s="150"/>
      <c r="T98" s="150"/>
    </row>
  </sheetData>
  <mergeCells count="18">
    <mergeCell ref="L7:L8"/>
    <mergeCell ref="N7:N8"/>
    <mergeCell ref="M6:M8"/>
    <mergeCell ref="T7:T8"/>
    <mergeCell ref="O7:O8"/>
    <mergeCell ref="P7:P8"/>
    <mergeCell ref="R7:R8"/>
    <mergeCell ref="Q6:Q8"/>
    <mergeCell ref="S7:S8"/>
    <mergeCell ref="K7:K8"/>
    <mergeCell ref="A5:C8"/>
    <mergeCell ref="E5:E8"/>
    <mergeCell ref="F6:F8"/>
    <mergeCell ref="G7:G8"/>
    <mergeCell ref="H7:H8"/>
    <mergeCell ref="I7:I8"/>
    <mergeCell ref="J7:J8"/>
    <mergeCell ref="D5:D8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86" orientation="portrait" r:id="rId1"/>
  <headerFooter alignWithMargins="0"/>
  <rowBreaks count="1" manualBreakCount="1">
    <brk id="56" max="16383" man="1"/>
  </rowBreaks>
  <colBreaks count="1" manualBreakCount="1">
    <brk id="12" max="104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12F3-A298-484C-8D36-3BF738785350}">
  <sheetPr codeName="工作表71"/>
  <dimension ref="A1:Y73"/>
  <sheetViews>
    <sheetView showGridLines="0" view="pageBreakPreview" zoomScale="90" zoomScaleNormal="55" zoomScaleSheetLayoutView="90" workbookViewId="0">
      <selection activeCell="R25" sqref="R25"/>
    </sheetView>
  </sheetViews>
  <sheetFormatPr defaultColWidth="9" defaultRowHeight="11.1" customHeight="1" x14ac:dyDescent="0.25"/>
  <cols>
    <col min="1" max="1" width="1.875" style="18" customWidth="1"/>
    <col min="2" max="2" width="13.5" style="44" customWidth="1"/>
    <col min="3" max="3" width="3.25" style="48" customWidth="1"/>
    <col min="4" max="25" width="6.625" style="47" customWidth="1"/>
    <col min="26" max="16384" width="9" style="46"/>
  </cols>
  <sheetData>
    <row r="1" spans="1:25" s="14" customFormat="1" ht="22.5" customHeight="1" x14ac:dyDescent="0.25">
      <c r="A1" s="255" t="s">
        <v>276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96" t="s">
        <v>277</v>
      </c>
      <c r="P1" s="22"/>
    </row>
    <row r="2" spans="1:25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10"/>
      <c r="Q2" s="22"/>
      <c r="S2" s="22" t="s">
        <v>280</v>
      </c>
    </row>
    <row r="3" spans="1:25" s="19" customFormat="1" ht="13.5" customHeight="1" x14ac:dyDescent="0.25">
      <c r="A3" s="257" t="s">
        <v>181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44" t="s">
        <v>182</v>
      </c>
    </row>
    <row r="4" spans="1:25" s="28" customFormat="1" ht="13.5" x14ac:dyDescent="0.25">
      <c r="A4" s="135" t="s">
        <v>20</v>
      </c>
      <c r="B4" s="135"/>
      <c r="C4" s="135"/>
      <c r="D4" s="26"/>
      <c r="E4" s="26"/>
      <c r="F4" s="26"/>
      <c r="G4" s="27"/>
      <c r="H4" s="27"/>
      <c r="I4" s="27"/>
      <c r="J4" s="27"/>
      <c r="K4" s="27"/>
      <c r="L4" s="27"/>
      <c r="M4" s="27"/>
      <c r="N4" s="27" t="s">
        <v>157</v>
      </c>
      <c r="O4" s="27"/>
      <c r="Q4" s="27"/>
      <c r="R4" s="27"/>
      <c r="S4" s="27"/>
      <c r="T4" s="27"/>
      <c r="U4" s="27"/>
      <c r="V4" s="27"/>
      <c r="W4" s="27"/>
      <c r="X4" s="27"/>
      <c r="Y4" s="27" t="s">
        <v>157</v>
      </c>
    </row>
    <row r="5" spans="1:25" s="19" customFormat="1" ht="45.75" customHeight="1" x14ac:dyDescent="0.25">
      <c r="A5" s="262" t="s">
        <v>21</v>
      </c>
      <c r="B5" s="262"/>
      <c r="C5" s="263"/>
      <c r="D5" s="136" t="s">
        <v>24</v>
      </c>
      <c r="E5" s="136" t="s">
        <v>25</v>
      </c>
      <c r="F5" s="136" t="s">
        <v>26</v>
      </c>
      <c r="G5" s="137" t="s">
        <v>27</v>
      </c>
      <c r="H5" s="137" t="s">
        <v>28</v>
      </c>
      <c r="I5" s="137" t="s">
        <v>29</v>
      </c>
      <c r="J5" s="137" t="s">
        <v>30</v>
      </c>
      <c r="K5" s="137" t="s">
        <v>31</v>
      </c>
      <c r="L5" s="137" t="s">
        <v>32</v>
      </c>
      <c r="M5" s="137" t="s">
        <v>33</v>
      </c>
      <c r="N5" s="137" t="s">
        <v>34</v>
      </c>
      <c r="O5" s="137" t="s">
        <v>35</v>
      </c>
      <c r="P5" s="137" t="s">
        <v>36</v>
      </c>
      <c r="Q5" s="137" t="s">
        <v>37</v>
      </c>
      <c r="R5" s="137" t="s">
        <v>38</v>
      </c>
      <c r="S5" s="137" t="s">
        <v>39</v>
      </c>
      <c r="T5" s="137" t="s">
        <v>40</v>
      </c>
      <c r="U5" s="137" t="s">
        <v>41</v>
      </c>
      <c r="V5" s="137" t="s">
        <v>42</v>
      </c>
      <c r="W5" s="137" t="s">
        <v>43</v>
      </c>
      <c r="X5" s="137" t="s">
        <v>44</v>
      </c>
      <c r="Y5" s="137" t="s">
        <v>45</v>
      </c>
    </row>
    <row r="6" spans="1:25" s="19" customFormat="1" ht="4.5" customHeight="1" x14ac:dyDescent="0.25">
      <c r="A6" s="30"/>
      <c r="B6" s="31"/>
      <c r="C6" s="32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 s="19" customFormat="1" ht="4.5" hidden="1" customHeight="1" x14ac:dyDescent="0.25">
      <c r="A7" s="37"/>
      <c r="B7" s="138"/>
      <c r="C7" s="29"/>
      <c r="D7" s="139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</row>
    <row r="8" spans="1:25" s="19" customFormat="1" ht="4.5" hidden="1" customHeight="1" x14ac:dyDescent="0.25">
      <c r="A8" s="37"/>
      <c r="B8" s="138"/>
      <c r="C8" s="29"/>
      <c r="D8" s="139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</row>
    <row r="9" spans="1:25" s="18" customFormat="1" ht="15.95" customHeight="1" x14ac:dyDescent="0.25">
      <c r="A9" s="33" t="s">
        <v>22</v>
      </c>
      <c r="B9" s="54"/>
      <c r="C9" s="141"/>
      <c r="D9" s="57">
        <v>28.817577787698255</v>
      </c>
      <c r="E9" s="58">
        <v>39.633533412537979</v>
      </c>
      <c r="F9" s="58">
        <v>12.478019713213257</v>
      </c>
      <c r="G9" s="58">
        <v>6.3090986295590552</v>
      </c>
      <c r="H9" s="58">
        <v>3.139298253320614</v>
      </c>
      <c r="I9" s="58">
        <v>8.6422263721259398</v>
      </c>
      <c r="J9" s="58">
        <v>6.9394954053619653</v>
      </c>
      <c r="K9" s="58">
        <v>6.4404314871726633</v>
      </c>
      <c r="L9" s="58">
        <v>8.0259794228016723</v>
      </c>
      <c r="M9" s="58">
        <v>4.1089492915937642</v>
      </c>
      <c r="N9" s="58">
        <v>3.2535305355881836</v>
      </c>
      <c r="O9" s="58">
        <v>6.1948240456619166</v>
      </c>
      <c r="P9" s="58">
        <v>1.5016443212008219</v>
      </c>
      <c r="Q9" s="58">
        <v>4.5567939589296209</v>
      </c>
      <c r="R9" s="58">
        <v>6.1723157866452629</v>
      </c>
      <c r="S9" s="58">
        <v>2.6145028575020004</v>
      </c>
      <c r="T9" s="58">
        <v>4.7815562918756811</v>
      </c>
      <c r="U9" s="58">
        <v>27.10946519963862</v>
      </c>
      <c r="V9" s="58">
        <v>4.5705290245782404</v>
      </c>
      <c r="W9" s="58">
        <v>4.7954075831111007</v>
      </c>
      <c r="X9" s="58">
        <v>3.9253120048259298</v>
      </c>
      <c r="Y9" s="58">
        <v>6.6215449152575516</v>
      </c>
    </row>
    <row r="10" spans="1:25" s="19" customFormat="1" ht="15.95" customHeight="1" x14ac:dyDescent="0.25">
      <c r="A10" s="33" t="s">
        <v>46</v>
      </c>
      <c r="B10" s="34"/>
      <c r="C10" s="35"/>
      <c r="D10" s="61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s="19" customFormat="1" ht="15.95" customHeight="1" x14ac:dyDescent="0.25">
      <c r="A11" s="37"/>
      <c r="B11" s="38" t="s">
        <v>47</v>
      </c>
      <c r="C11" s="35"/>
      <c r="D11" s="61">
        <v>17.341419786673317</v>
      </c>
      <c r="E11" s="62">
        <v>26.486824050023703</v>
      </c>
      <c r="F11" s="62">
        <v>6.5795838177864061</v>
      </c>
      <c r="G11" s="62">
        <v>4.3227552389421797</v>
      </c>
      <c r="H11" s="62">
        <v>2.4425896061119832</v>
      </c>
      <c r="I11" s="62">
        <v>8.864784551823135</v>
      </c>
      <c r="J11" s="62">
        <v>6.1710639617672038</v>
      </c>
      <c r="K11" s="62">
        <v>7.5633513521424227</v>
      </c>
      <c r="L11" s="62">
        <v>10.031649561430957</v>
      </c>
      <c r="M11" s="62">
        <v>4.1590783500650854</v>
      </c>
      <c r="N11" s="62">
        <v>3.2486837950679157</v>
      </c>
      <c r="O11" s="62">
        <v>6.1939362876446395</v>
      </c>
      <c r="P11" s="62">
        <v>1.1303790312988073</v>
      </c>
      <c r="Q11" s="62">
        <v>4.6214668679241058</v>
      </c>
      <c r="R11" s="62">
        <v>7.17203843794052</v>
      </c>
      <c r="S11" s="62">
        <v>3.5119779821699204</v>
      </c>
      <c r="T11" s="62">
        <v>3.6201062029325306</v>
      </c>
      <c r="U11" s="62">
        <v>17.960519467209512</v>
      </c>
      <c r="V11" s="62">
        <v>3.524434831271213</v>
      </c>
      <c r="W11" s="62">
        <v>4.1729128246011218</v>
      </c>
      <c r="X11" s="62">
        <v>3.3207954404081041</v>
      </c>
      <c r="Y11" s="62">
        <v>4.8119286316488648</v>
      </c>
    </row>
    <row r="12" spans="1:25" s="19" customFormat="1" ht="15.95" customHeight="1" x14ac:dyDescent="0.25">
      <c r="A12" s="37"/>
      <c r="B12" s="38" t="s">
        <v>48</v>
      </c>
      <c r="C12" s="35"/>
      <c r="D12" s="61">
        <v>41.697046798767154</v>
      </c>
      <c r="E12" s="62">
        <v>53.053100397645473</v>
      </c>
      <c r="F12" s="62">
        <v>19.816475003142497</v>
      </c>
      <c r="G12" s="62">
        <v>8.4093651859624323</v>
      </c>
      <c r="H12" s="62">
        <v>3.9688830630407241</v>
      </c>
      <c r="I12" s="62">
        <v>8.3614715361504572</v>
      </c>
      <c r="J12" s="62">
        <v>7.670711506399817</v>
      </c>
      <c r="K12" s="62">
        <v>5.0315078699532707</v>
      </c>
      <c r="L12" s="62">
        <v>5.6593345812290305</v>
      </c>
      <c r="M12" s="62">
        <v>4.0527637266262362</v>
      </c>
      <c r="N12" s="62">
        <v>3.2594317611537771</v>
      </c>
      <c r="O12" s="62">
        <v>6.1958475626454872</v>
      </c>
      <c r="P12" s="62">
        <v>2.0008594184594624</v>
      </c>
      <c r="Q12" s="62">
        <v>4.4738768724741096</v>
      </c>
      <c r="R12" s="62">
        <v>5.106026113951927</v>
      </c>
      <c r="S12" s="62">
        <v>1.5454968058300365</v>
      </c>
      <c r="T12" s="62">
        <v>5.9697364493098091</v>
      </c>
      <c r="U12" s="62">
        <v>35.728506952551122</v>
      </c>
      <c r="V12" s="62">
        <v>5.8562229637750693</v>
      </c>
      <c r="W12" s="62">
        <v>5.3643808996637796</v>
      </c>
      <c r="X12" s="62">
        <v>4.5089391505091463</v>
      </c>
      <c r="Y12" s="62">
        <v>9.0837020275077247</v>
      </c>
    </row>
    <row r="13" spans="1:25" s="19" customFormat="1" ht="15.95" customHeight="1" x14ac:dyDescent="0.25">
      <c r="A13" s="37" t="s">
        <v>49</v>
      </c>
      <c r="B13" s="38"/>
      <c r="C13" s="35"/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s="19" customFormat="1" ht="15.95" customHeight="1" x14ac:dyDescent="0.25">
      <c r="A14" s="37"/>
      <c r="B14" s="38" t="s">
        <v>107</v>
      </c>
      <c r="C14" s="35"/>
      <c r="D14" s="61">
        <v>79.71491035764096</v>
      </c>
      <c r="E14" s="62">
        <v>62.10698703012816</v>
      </c>
      <c r="F14" s="62">
        <v>55.736595819653985</v>
      </c>
      <c r="G14" s="62">
        <v>47.179828461414957</v>
      </c>
      <c r="H14" s="62">
        <v>32.82891150775756</v>
      </c>
      <c r="I14" s="62">
        <v>43.054937105564917</v>
      </c>
      <c r="J14" s="62">
        <v>46.662393492668457</v>
      </c>
      <c r="K14" s="62">
        <v>42.209746012092822</v>
      </c>
      <c r="L14" s="62">
        <v>48.858230289566166</v>
      </c>
      <c r="M14" s="62">
        <v>41.226527782808716</v>
      </c>
      <c r="N14" s="62">
        <v>52.99706116992116</v>
      </c>
      <c r="O14" s="62">
        <v>56.220548150510503</v>
      </c>
      <c r="P14" s="62">
        <v>19.215166829324307</v>
      </c>
      <c r="Q14" s="62">
        <v>26.56532059912108</v>
      </c>
      <c r="R14" s="62">
        <v>29.074639416858201</v>
      </c>
      <c r="S14" s="62">
        <v>24.756260031047951</v>
      </c>
      <c r="T14" s="62">
        <v>55.183602871871329</v>
      </c>
      <c r="U14" s="62">
        <v>80.677507705605166</v>
      </c>
      <c r="V14" s="62">
        <v>36.395328235762634</v>
      </c>
      <c r="W14" s="62">
        <v>17.457366639178844</v>
      </c>
      <c r="X14" s="62">
        <v>43.083125277881358</v>
      </c>
      <c r="Y14" s="62">
        <v>87.559229453319062</v>
      </c>
    </row>
    <row r="15" spans="1:25" s="19" customFormat="1" ht="15.95" customHeight="1" x14ac:dyDescent="0.25">
      <c r="A15" s="37"/>
      <c r="B15" s="38" t="s">
        <v>108</v>
      </c>
      <c r="C15" s="35"/>
      <c r="D15" s="61">
        <v>54.203113493803151</v>
      </c>
      <c r="E15" s="62">
        <v>65.200532858280624</v>
      </c>
      <c r="F15" s="62">
        <v>17.256539856096083</v>
      </c>
      <c r="G15" s="62">
        <v>11.160688131288811</v>
      </c>
      <c r="H15" s="62">
        <v>15.022436484922844</v>
      </c>
      <c r="I15" s="62">
        <v>8.2029948587765666</v>
      </c>
      <c r="J15" s="62">
        <v>18.896060838915986</v>
      </c>
      <c r="K15" s="62">
        <v>12.860780262298761</v>
      </c>
      <c r="L15" s="62">
        <v>68.276454511553169</v>
      </c>
      <c r="M15" s="62">
        <v>21.625479355039644</v>
      </c>
      <c r="N15" s="62">
        <v>19.350287672663537</v>
      </c>
      <c r="O15" s="62">
        <v>27.269902740025358</v>
      </c>
      <c r="P15" s="62">
        <v>15.660179532861065</v>
      </c>
      <c r="Q15" s="62">
        <v>80.126359528055019</v>
      </c>
      <c r="R15" s="62">
        <v>25.379497902773107</v>
      </c>
      <c r="S15" s="62">
        <v>0</v>
      </c>
      <c r="T15" s="62">
        <v>12.156019943149033</v>
      </c>
      <c r="U15" s="62">
        <v>58.05824634946363</v>
      </c>
      <c r="V15" s="62">
        <v>18.893299916857085</v>
      </c>
      <c r="W15" s="62">
        <v>13.783518506202343</v>
      </c>
      <c r="X15" s="62">
        <v>26.716345067727506</v>
      </c>
      <c r="Y15" s="62">
        <v>35.675759461029095</v>
      </c>
    </row>
    <row r="16" spans="1:25" s="19" customFormat="1" ht="15.95" customHeight="1" x14ac:dyDescent="0.25">
      <c r="A16" s="37"/>
      <c r="B16" s="38" t="s">
        <v>109</v>
      </c>
      <c r="C16" s="35"/>
      <c r="D16" s="61">
        <v>34.578889985529919</v>
      </c>
      <c r="E16" s="62">
        <v>47.478903781994717</v>
      </c>
      <c r="F16" s="62">
        <v>11.197845726949158</v>
      </c>
      <c r="G16" s="62">
        <v>6.2036998331667608</v>
      </c>
      <c r="H16" s="62">
        <v>0.56374239126772629</v>
      </c>
      <c r="I16" s="62">
        <v>5.3156981484757546</v>
      </c>
      <c r="J16" s="62">
        <v>11.029276170032507</v>
      </c>
      <c r="K16" s="62">
        <v>6.1754242204099921</v>
      </c>
      <c r="L16" s="62">
        <v>5.0368263218295919</v>
      </c>
      <c r="M16" s="62">
        <v>4.5142296628600471</v>
      </c>
      <c r="N16" s="62">
        <v>0.95893480640132711</v>
      </c>
      <c r="O16" s="62">
        <v>2.8536887929677293</v>
      </c>
      <c r="P16" s="62">
        <v>0.80544812109131303</v>
      </c>
      <c r="Q16" s="62">
        <v>1.7141198785209346</v>
      </c>
      <c r="R16" s="62">
        <v>0.67271175539745731</v>
      </c>
      <c r="S16" s="62">
        <v>6.945387396303639</v>
      </c>
      <c r="T16" s="62">
        <v>5.4426781159790787</v>
      </c>
      <c r="U16" s="62">
        <v>50.548253090293251</v>
      </c>
      <c r="V16" s="62">
        <v>3.4134396741924591</v>
      </c>
      <c r="W16" s="62">
        <v>13.709683677091762</v>
      </c>
      <c r="X16" s="62">
        <v>1.4352518882461092</v>
      </c>
      <c r="Y16" s="62">
        <v>2.045984096836051</v>
      </c>
    </row>
    <row r="17" spans="1:25" s="19" customFormat="1" ht="15.95" customHeight="1" x14ac:dyDescent="0.25">
      <c r="A17" s="33"/>
      <c r="B17" s="38" t="s">
        <v>110</v>
      </c>
      <c r="C17" s="35"/>
      <c r="D17" s="61">
        <v>26.581405634335717</v>
      </c>
      <c r="E17" s="62">
        <v>45.474760996752586</v>
      </c>
      <c r="F17" s="62">
        <v>12.603704411947088</v>
      </c>
      <c r="G17" s="62">
        <v>1.016227182333822</v>
      </c>
      <c r="H17" s="62">
        <v>1.2852343451055106</v>
      </c>
      <c r="I17" s="62">
        <v>10.333093686460346</v>
      </c>
      <c r="J17" s="62">
        <v>1.758091453502888</v>
      </c>
      <c r="K17" s="62">
        <v>0.17753531553758758</v>
      </c>
      <c r="L17" s="62">
        <v>1.445597111322505</v>
      </c>
      <c r="M17" s="62">
        <v>0.34286467210821375</v>
      </c>
      <c r="N17" s="62">
        <v>1.383601691737246</v>
      </c>
      <c r="O17" s="62">
        <v>0.59473750554724891</v>
      </c>
      <c r="P17" s="62">
        <v>0.18406976992605564</v>
      </c>
      <c r="Q17" s="62">
        <v>0</v>
      </c>
      <c r="R17" s="62">
        <v>18.26747090723444</v>
      </c>
      <c r="S17" s="62">
        <v>0.57460419565821175</v>
      </c>
      <c r="T17" s="62">
        <v>0</v>
      </c>
      <c r="U17" s="62">
        <v>30.170753569381787</v>
      </c>
      <c r="V17" s="62">
        <v>0.91357390946740702</v>
      </c>
      <c r="W17" s="62">
        <v>0.29688153343798723</v>
      </c>
      <c r="X17" s="62">
        <v>0</v>
      </c>
      <c r="Y17" s="62">
        <v>1.2661985763780974</v>
      </c>
    </row>
    <row r="18" spans="1:25" s="19" customFormat="1" ht="15.95" customHeight="1" x14ac:dyDescent="0.25">
      <c r="A18" s="37"/>
      <c r="B18" s="38" t="s">
        <v>111</v>
      </c>
      <c r="C18" s="35"/>
      <c r="D18" s="61">
        <v>23.570902303617661</v>
      </c>
      <c r="E18" s="62">
        <v>35.203569182996475</v>
      </c>
      <c r="F18" s="62">
        <v>6.2244941094746888</v>
      </c>
      <c r="G18" s="62">
        <v>5.3353225095947057</v>
      </c>
      <c r="H18" s="62">
        <v>0.84879947131724254</v>
      </c>
      <c r="I18" s="62">
        <v>5.4217922593719798</v>
      </c>
      <c r="J18" s="62">
        <v>2.3928689443229594</v>
      </c>
      <c r="K18" s="62">
        <v>3.8742051100880115</v>
      </c>
      <c r="L18" s="62">
        <v>5.2613574782754071</v>
      </c>
      <c r="M18" s="62">
        <v>0.23027876561229313</v>
      </c>
      <c r="N18" s="62">
        <v>0.85978251212536383</v>
      </c>
      <c r="O18" s="62">
        <v>5.8328201534074795</v>
      </c>
      <c r="P18" s="62">
        <v>0</v>
      </c>
      <c r="Q18" s="62">
        <v>4.2547403382996283</v>
      </c>
      <c r="R18" s="62">
        <v>5.4881198179038968</v>
      </c>
      <c r="S18" s="62">
        <v>0.15789216990863894</v>
      </c>
      <c r="T18" s="62">
        <v>0.7667003585680735</v>
      </c>
      <c r="U18" s="62">
        <v>8.5406675408649075</v>
      </c>
      <c r="V18" s="62">
        <v>2.6770318933489654</v>
      </c>
      <c r="W18" s="62">
        <v>1.3506483081590963</v>
      </c>
      <c r="X18" s="62">
        <v>0</v>
      </c>
      <c r="Y18" s="62">
        <v>4.0610841361102423</v>
      </c>
    </row>
    <row r="19" spans="1:25" s="19" customFormat="1" ht="15.95" customHeight="1" x14ac:dyDescent="0.25">
      <c r="A19" s="37"/>
      <c r="B19" s="38" t="s">
        <v>112</v>
      </c>
      <c r="C19" s="35"/>
      <c r="D19" s="61">
        <v>20.514185725269385</v>
      </c>
      <c r="E19" s="62">
        <v>29.651689589785899</v>
      </c>
      <c r="F19" s="62">
        <v>12.14811846217378</v>
      </c>
      <c r="G19" s="62">
        <v>5.7695964211256641</v>
      </c>
      <c r="H19" s="62">
        <v>0.58720663024177822</v>
      </c>
      <c r="I19" s="62">
        <v>7.1354146801453622</v>
      </c>
      <c r="J19" s="62">
        <v>4.2005596002399379</v>
      </c>
      <c r="K19" s="62">
        <v>7.349288391527419</v>
      </c>
      <c r="L19" s="62">
        <v>4.3353611743377085</v>
      </c>
      <c r="M19" s="62">
        <v>2.3185894628708041</v>
      </c>
      <c r="N19" s="62">
        <v>1.2343355334494661</v>
      </c>
      <c r="O19" s="62">
        <v>0.52003668070597198</v>
      </c>
      <c r="P19" s="62">
        <v>0.64830420552270041</v>
      </c>
      <c r="Q19" s="62">
        <v>1.7989993305292955</v>
      </c>
      <c r="R19" s="62">
        <v>1.7627323185150237</v>
      </c>
      <c r="S19" s="62">
        <v>1.7936259481635521</v>
      </c>
      <c r="T19" s="62">
        <v>2.9682319842291824</v>
      </c>
      <c r="U19" s="62">
        <v>20.147350794029908</v>
      </c>
      <c r="V19" s="62">
        <v>1.3189813638567147</v>
      </c>
      <c r="W19" s="62">
        <v>0.94942771982976748</v>
      </c>
      <c r="X19" s="62">
        <v>4.2091815571607141</v>
      </c>
      <c r="Y19" s="62">
        <v>3.2739857863866426</v>
      </c>
    </row>
    <row r="20" spans="1:25" s="19" customFormat="1" ht="15.95" customHeight="1" x14ac:dyDescent="0.25">
      <c r="A20" s="37"/>
      <c r="B20" s="38" t="s">
        <v>113</v>
      </c>
      <c r="C20" s="35"/>
      <c r="D20" s="61">
        <v>18.547710618548322</v>
      </c>
      <c r="E20" s="62">
        <v>23.80964378797993</v>
      </c>
      <c r="F20" s="62">
        <v>13.805569147119554</v>
      </c>
      <c r="G20" s="62">
        <v>0</v>
      </c>
      <c r="H20" s="62">
        <v>1.9557405242223338</v>
      </c>
      <c r="I20" s="62">
        <v>6.5232261146278621</v>
      </c>
      <c r="J20" s="62">
        <v>0.8678494950820429</v>
      </c>
      <c r="K20" s="62">
        <v>0</v>
      </c>
      <c r="L20" s="62">
        <v>2.7675025512023828</v>
      </c>
      <c r="M20" s="62">
        <v>1.551651205341763</v>
      </c>
      <c r="N20" s="62">
        <v>0</v>
      </c>
      <c r="O20" s="62">
        <v>3.1724366701826212</v>
      </c>
      <c r="P20" s="62">
        <v>5.0201479308014036</v>
      </c>
      <c r="Q20" s="62">
        <v>0</v>
      </c>
      <c r="R20" s="62">
        <v>0</v>
      </c>
      <c r="S20" s="62">
        <v>1.5797877806233342</v>
      </c>
      <c r="T20" s="62">
        <v>0</v>
      </c>
      <c r="U20" s="62">
        <v>17.278149839522609</v>
      </c>
      <c r="V20" s="62">
        <v>1.8038643516893711</v>
      </c>
      <c r="W20" s="62">
        <v>5.6144337134662941</v>
      </c>
      <c r="X20" s="62">
        <v>8.1795342812248109</v>
      </c>
      <c r="Y20" s="62">
        <v>2.0996237537691789</v>
      </c>
    </row>
    <row r="21" spans="1:25" s="19" customFormat="1" ht="15.95" customHeight="1" x14ac:dyDescent="0.25">
      <c r="A21" s="37"/>
      <c r="B21" s="38" t="s">
        <v>114</v>
      </c>
      <c r="C21" s="35"/>
      <c r="D21" s="61">
        <v>43.916860464220868</v>
      </c>
      <c r="E21" s="62">
        <v>38.884675719236583</v>
      </c>
      <c r="F21" s="62">
        <v>4.9084698730653855</v>
      </c>
      <c r="G21" s="62">
        <v>3.1310941295406711</v>
      </c>
      <c r="H21" s="62">
        <v>6.6544418237707159</v>
      </c>
      <c r="I21" s="62">
        <v>5.1044110805876954</v>
      </c>
      <c r="J21" s="62">
        <v>0</v>
      </c>
      <c r="K21" s="62">
        <v>1.4472641178152392</v>
      </c>
      <c r="L21" s="62">
        <v>2.2741319619772478</v>
      </c>
      <c r="M21" s="62">
        <v>0</v>
      </c>
      <c r="N21" s="62">
        <v>0</v>
      </c>
      <c r="O21" s="62">
        <v>0</v>
      </c>
      <c r="P21" s="62">
        <v>1.1586346465436048</v>
      </c>
      <c r="Q21" s="62">
        <v>1.2603557883496781</v>
      </c>
      <c r="R21" s="62">
        <v>0.44810710496806411</v>
      </c>
      <c r="S21" s="62">
        <v>0</v>
      </c>
      <c r="T21" s="62">
        <v>0</v>
      </c>
      <c r="U21" s="62">
        <v>20.813193757774563</v>
      </c>
      <c r="V21" s="62">
        <v>5.3497797867899486</v>
      </c>
      <c r="W21" s="62">
        <v>0</v>
      </c>
      <c r="X21" s="62">
        <v>0</v>
      </c>
      <c r="Y21" s="62">
        <v>0</v>
      </c>
    </row>
    <row r="22" spans="1:25" s="19" customFormat="1" ht="15.95" customHeight="1" x14ac:dyDescent="0.25">
      <c r="A22" s="37" t="s">
        <v>50</v>
      </c>
      <c r="B22" s="38"/>
      <c r="C22" s="35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s="19" customFormat="1" ht="15.95" customHeight="1" x14ac:dyDescent="0.25">
      <c r="A23" s="37"/>
      <c r="B23" s="38" t="s">
        <v>3</v>
      </c>
      <c r="C23" s="35"/>
      <c r="D23" s="61">
        <v>9.6445367137448557</v>
      </c>
      <c r="E23" s="62">
        <v>46.38521529805702</v>
      </c>
      <c r="F23" s="62">
        <v>0</v>
      </c>
      <c r="G23" s="62">
        <v>0</v>
      </c>
      <c r="H23" s="62">
        <v>16.808603056698914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3.0537670236592298</v>
      </c>
      <c r="V23" s="62">
        <v>7.8917845166226446</v>
      </c>
      <c r="W23" s="62">
        <v>0</v>
      </c>
      <c r="X23" s="62">
        <v>12.742663914723165</v>
      </c>
      <c r="Y23" s="62">
        <v>0</v>
      </c>
    </row>
    <row r="24" spans="1:25" s="19" customFormat="1" ht="15.95" customHeight="1" x14ac:dyDescent="0.25">
      <c r="A24" s="37"/>
      <c r="B24" s="38" t="s">
        <v>115</v>
      </c>
      <c r="C24" s="35"/>
      <c r="D24" s="61">
        <v>11.285030930479673</v>
      </c>
      <c r="E24" s="62">
        <v>5.6700949005419057</v>
      </c>
      <c r="F24" s="62">
        <v>8.9890765019639964</v>
      </c>
      <c r="G24" s="62">
        <v>2.4621930369568172</v>
      </c>
      <c r="H24" s="62">
        <v>2.323598119922039</v>
      </c>
      <c r="I24" s="62">
        <v>4.047193794694949</v>
      </c>
      <c r="J24" s="62">
        <v>1.7228838720779485</v>
      </c>
      <c r="K24" s="62">
        <v>10.202558090725669</v>
      </c>
      <c r="L24" s="62">
        <v>7.6664470525277659</v>
      </c>
      <c r="M24" s="62">
        <v>0</v>
      </c>
      <c r="N24" s="62">
        <v>0</v>
      </c>
      <c r="O24" s="62">
        <v>2.0836089026445395</v>
      </c>
      <c r="P24" s="62">
        <v>1.4213563058266641</v>
      </c>
      <c r="Q24" s="62">
        <v>0.98995052261594352</v>
      </c>
      <c r="R24" s="62">
        <v>11.622812409417502</v>
      </c>
      <c r="S24" s="62">
        <v>4.6882343334988263</v>
      </c>
      <c r="T24" s="62">
        <v>1.2197579024263048</v>
      </c>
      <c r="U24" s="62">
        <v>9.1310027853423694</v>
      </c>
      <c r="V24" s="62">
        <v>7.6978590927939408</v>
      </c>
      <c r="W24" s="62">
        <v>6.237824566254865</v>
      </c>
      <c r="X24" s="62">
        <v>18.18948690290793</v>
      </c>
      <c r="Y24" s="62">
        <v>0</v>
      </c>
    </row>
    <row r="25" spans="1:25" s="19" customFormat="1" ht="15.95" customHeight="1" x14ac:dyDescent="0.25">
      <c r="A25" s="37"/>
      <c r="B25" s="38" t="s">
        <v>116</v>
      </c>
      <c r="C25" s="35"/>
      <c r="D25" s="61">
        <v>23.503741342502455</v>
      </c>
      <c r="E25" s="62">
        <v>34.313981031780422</v>
      </c>
      <c r="F25" s="62">
        <v>11.643230459110347</v>
      </c>
      <c r="G25" s="62">
        <v>11.246734301633843</v>
      </c>
      <c r="H25" s="62">
        <v>6.8662610403781228</v>
      </c>
      <c r="I25" s="62">
        <v>10.050727152614268</v>
      </c>
      <c r="J25" s="62">
        <v>11.43568679048963</v>
      </c>
      <c r="K25" s="62">
        <v>17.068235205698308</v>
      </c>
      <c r="L25" s="62">
        <v>15.601822147907122</v>
      </c>
      <c r="M25" s="62">
        <v>7.5468042433802989</v>
      </c>
      <c r="N25" s="62">
        <v>8.1835722849446348</v>
      </c>
      <c r="O25" s="62">
        <v>10.736005457770528</v>
      </c>
      <c r="P25" s="62">
        <v>2.1726871125831493</v>
      </c>
      <c r="Q25" s="62">
        <v>8.8749273345602262</v>
      </c>
      <c r="R25" s="62">
        <v>3.9637227969688968</v>
      </c>
      <c r="S25" s="62">
        <v>2.3291510336467289</v>
      </c>
      <c r="T25" s="62">
        <v>8.2840403318253397</v>
      </c>
      <c r="U25" s="62">
        <v>33.994648810896216</v>
      </c>
      <c r="V25" s="62">
        <v>11.819960379723343</v>
      </c>
      <c r="W25" s="62">
        <v>5.2259112300707953</v>
      </c>
      <c r="X25" s="62">
        <v>9.1908512752280593</v>
      </c>
      <c r="Y25" s="62">
        <v>13.477387652577191</v>
      </c>
    </row>
    <row r="26" spans="1:25" s="19" customFormat="1" ht="15.95" customHeight="1" x14ac:dyDescent="0.25">
      <c r="A26" s="37"/>
      <c r="B26" s="38" t="s">
        <v>51</v>
      </c>
      <c r="C26" s="35"/>
      <c r="D26" s="61">
        <v>24.313938673626808</v>
      </c>
      <c r="E26" s="62">
        <v>26.264226194027497</v>
      </c>
      <c r="F26" s="62">
        <v>18.774352142254955</v>
      </c>
      <c r="G26" s="62">
        <v>7.9290381971949859</v>
      </c>
      <c r="H26" s="62">
        <v>2.9289006430843623</v>
      </c>
      <c r="I26" s="62">
        <v>5.7668660708874864</v>
      </c>
      <c r="J26" s="62">
        <v>2.0794302184336675</v>
      </c>
      <c r="K26" s="62">
        <v>0</v>
      </c>
      <c r="L26" s="62">
        <v>0.99173853477687557</v>
      </c>
      <c r="M26" s="62">
        <v>3.2350588583285074</v>
      </c>
      <c r="N26" s="62">
        <v>1.1820755147867614</v>
      </c>
      <c r="O26" s="62">
        <v>0.83970292344550823</v>
      </c>
      <c r="P26" s="62">
        <v>0.50362556628785959</v>
      </c>
      <c r="Q26" s="62">
        <v>0.63603713770660653</v>
      </c>
      <c r="R26" s="62">
        <v>0</v>
      </c>
      <c r="S26" s="62">
        <v>0.29480939313687871</v>
      </c>
      <c r="T26" s="62">
        <v>3.5926657747038147</v>
      </c>
      <c r="U26" s="62">
        <v>33.96251780691054</v>
      </c>
      <c r="V26" s="62">
        <v>4.2039357346271249</v>
      </c>
      <c r="W26" s="62">
        <v>1.4237163146024465</v>
      </c>
      <c r="X26" s="62">
        <v>3.2374989696470751</v>
      </c>
      <c r="Y26" s="62">
        <v>6.4251202769717359</v>
      </c>
    </row>
    <row r="27" spans="1:25" s="19" customFormat="1" ht="15.95" customHeight="1" x14ac:dyDescent="0.25">
      <c r="A27" s="37"/>
      <c r="B27" s="38" t="s">
        <v>52</v>
      </c>
      <c r="C27" s="35"/>
      <c r="D27" s="61">
        <v>31.129073923873658</v>
      </c>
      <c r="E27" s="62">
        <v>42.747811451681272</v>
      </c>
      <c r="F27" s="62">
        <v>11.691372581694614</v>
      </c>
      <c r="G27" s="62">
        <v>5.7045055110513978</v>
      </c>
      <c r="H27" s="62">
        <v>0.76170894907743347</v>
      </c>
      <c r="I27" s="62">
        <v>8.9865333918083987</v>
      </c>
      <c r="J27" s="62">
        <v>7.4751725065977253</v>
      </c>
      <c r="K27" s="62">
        <v>2.1681302478439539</v>
      </c>
      <c r="L27" s="62">
        <v>3.7241130459149034</v>
      </c>
      <c r="M27" s="62">
        <v>2.1481249161184586</v>
      </c>
      <c r="N27" s="62">
        <v>1.9336599259744418</v>
      </c>
      <c r="O27" s="62">
        <v>6.5748226557463054</v>
      </c>
      <c r="P27" s="62">
        <v>1.5225352841525994</v>
      </c>
      <c r="Q27" s="62">
        <v>2.0177267936083894</v>
      </c>
      <c r="R27" s="62">
        <v>8.5661441835965508</v>
      </c>
      <c r="S27" s="62">
        <v>4.1497406374678896</v>
      </c>
      <c r="T27" s="62">
        <v>3.5937891375981801</v>
      </c>
      <c r="U27" s="62">
        <v>21.742516467876261</v>
      </c>
      <c r="V27" s="62">
        <v>2.6440439841559926</v>
      </c>
      <c r="W27" s="62">
        <v>6.0440457193708648</v>
      </c>
      <c r="X27" s="62">
        <v>0.16753900339237818</v>
      </c>
      <c r="Y27" s="62">
        <v>2.5615099485961097</v>
      </c>
    </row>
    <row r="28" spans="1:25" s="19" customFormat="1" ht="15.95" customHeight="1" x14ac:dyDescent="0.25">
      <c r="A28" s="37"/>
      <c r="B28" s="38" t="s">
        <v>4</v>
      </c>
      <c r="C28" s="35"/>
      <c r="D28" s="61">
        <v>41.679665505373521</v>
      </c>
      <c r="E28" s="62">
        <v>45.490386324367002</v>
      </c>
      <c r="F28" s="62">
        <v>13.840514522076436</v>
      </c>
      <c r="G28" s="62">
        <v>1.6127964428704367</v>
      </c>
      <c r="H28" s="62">
        <v>1.8532902202097583</v>
      </c>
      <c r="I28" s="62">
        <v>9.8108271586155187</v>
      </c>
      <c r="J28" s="62">
        <v>5.3426052937350699</v>
      </c>
      <c r="K28" s="62">
        <v>3.1299061273136899</v>
      </c>
      <c r="L28" s="62">
        <v>10.638750317276747</v>
      </c>
      <c r="M28" s="62">
        <v>1.7895573786959607</v>
      </c>
      <c r="N28" s="62">
        <v>0.78229186387537319</v>
      </c>
      <c r="O28" s="62">
        <v>1.0646122563083331</v>
      </c>
      <c r="P28" s="62">
        <v>0</v>
      </c>
      <c r="Q28" s="62">
        <v>3.794931959472521</v>
      </c>
      <c r="R28" s="62">
        <v>8.4902107024486391</v>
      </c>
      <c r="S28" s="62">
        <v>0.71552672886480806</v>
      </c>
      <c r="T28" s="62">
        <v>3.121790903718431</v>
      </c>
      <c r="U28" s="62">
        <v>34.562501744908296</v>
      </c>
      <c r="V28" s="62">
        <v>2.5050335771385166</v>
      </c>
      <c r="W28" s="62">
        <v>1.3508535637757184</v>
      </c>
      <c r="X28" s="62">
        <v>1.564320143270284</v>
      </c>
      <c r="Y28" s="62">
        <v>0</v>
      </c>
    </row>
    <row r="29" spans="1:25" s="19" customFormat="1" ht="15.95" customHeight="1" x14ac:dyDescent="0.25">
      <c r="A29" s="37"/>
      <c r="B29" s="38" t="s">
        <v>117</v>
      </c>
      <c r="C29" s="35"/>
      <c r="D29" s="61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</row>
    <row r="30" spans="1:25" s="19" customFormat="1" ht="15.95" customHeight="1" x14ac:dyDescent="0.25">
      <c r="A30" s="37" t="s">
        <v>53</v>
      </c>
      <c r="B30" s="38"/>
      <c r="C30" s="35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s="19" customFormat="1" ht="15.95" customHeight="1" x14ac:dyDescent="0.25">
      <c r="A31" s="37"/>
      <c r="B31" s="38" t="s">
        <v>54</v>
      </c>
      <c r="C31" s="35"/>
      <c r="D31" s="61">
        <v>15.786112356700279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0.43371096264666598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</row>
    <row r="32" spans="1:25" s="19" customFormat="1" ht="15.95" customHeight="1" x14ac:dyDescent="0.25">
      <c r="A32" s="37"/>
      <c r="B32" s="38" t="s">
        <v>55</v>
      </c>
      <c r="C32" s="35"/>
      <c r="D32" s="61">
        <v>14.176852783152086</v>
      </c>
      <c r="E32" s="62">
        <v>24.97022898240251</v>
      </c>
      <c r="F32" s="62">
        <v>5.8063472180186668</v>
      </c>
      <c r="G32" s="62">
        <v>1.2427041111431807</v>
      </c>
      <c r="H32" s="62">
        <v>0.73486808149431215</v>
      </c>
      <c r="I32" s="62">
        <v>4.6086120987582113</v>
      </c>
      <c r="J32" s="62">
        <v>3.1229395561728763</v>
      </c>
      <c r="K32" s="62">
        <v>1.2597976702676581</v>
      </c>
      <c r="L32" s="62">
        <v>4.1137296435543078</v>
      </c>
      <c r="M32" s="62">
        <v>0.56636750581270134</v>
      </c>
      <c r="N32" s="62">
        <v>0</v>
      </c>
      <c r="O32" s="62">
        <v>2.1576485310782236</v>
      </c>
      <c r="P32" s="62">
        <v>0.36879626398148541</v>
      </c>
      <c r="Q32" s="62">
        <v>1.5489857222518508</v>
      </c>
      <c r="R32" s="62">
        <v>21.912130702378683</v>
      </c>
      <c r="S32" s="62">
        <v>7.5276169550091323</v>
      </c>
      <c r="T32" s="62">
        <v>3.4533474961325084</v>
      </c>
      <c r="U32" s="62">
        <v>14.718045383414431</v>
      </c>
      <c r="V32" s="62">
        <v>0.92625663563178817</v>
      </c>
      <c r="W32" s="62">
        <v>3.2355073163032699</v>
      </c>
      <c r="X32" s="62">
        <v>2.8209344262852292</v>
      </c>
      <c r="Y32" s="62">
        <v>0.44888992044833326</v>
      </c>
    </row>
    <row r="33" spans="1:25" s="19" customFormat="1" ht="15.95" customHeight="1" x14ac:dyDescent="0.25">
      <c r="A33" s="37"/>
      <c r="B33" s="38" t="s">
        <v>211</v>
      </c>
      <c r="C33" s="35"/>
      <c r="D33" s="61">
        <v>21.612495670629453</v>
      </c>
      <c r="E33" s="62">
        <v>33.48340047568734</v>
      </c>
      <c r="F33" s="62">
        <v>14.327660021564043</v>
      </c>
      <c r="G33" s="62">
        <v>0.2145819399965489</v>
      </c>
      <c r="H33" s="62">
        <v>0</v>
      </c>
      <c r="I33" s="62">
        <v>1.9184362004607214</v>
      </c>
      <c r="J33" s="62">
        <v>1.071264816166495</v>
      </c>
      <c r="K33" s="62">
        <v>4.2665235223073079</v>
      </c>
      <c r="L33" s="62">
        <v>4.421796664902474</v>
      </c>
      <c r="M33" s="62">
        <v>0</v>
      </c>
      <c r="N33" s="62">
        <v>0</v>
      </c>
      <c r="O33" s="62">
        <v>2.5426067363240001</v>
      </c>
      <c r="P33" s="62">
        <v>2.7161250681743963</v>
      </c>
      <c r="Q33" s="62">
        <v>8.9787685501314947</v>
      </c>
      <c r="R33" s="62">
        <v>9.6055530357934344</v>
      </c>
      <c r="S33" s="62">
        <v>8.8981732046079056</v>
      </c>
      <c r="T33" s="62">
        <v>4.5903854570232054</v>
      </c>
      <c r="U33" s="62">
        <v>41.984309734976712</v>
      </c>
      <c r="V33" s="62">
        <v>2.2752871418646934</v>
      </c>
      <c r="W33" s="62">
        <v>0</v>
      </c>
      <c r="X33" s="62">
        <v>3.758538567899425</v>
      </c>
      <c r="Y33" s="62">
        <v>0</v>
      </c>
    </row>
    <row r="34" spans="1:25" s="19" customFormat="1" ht="15.95" customHeight="1" x14ac:dyDescent="0.25">
      <c r="A34" s="37"/>
      <c r="B34" s="38" t="s">
        <v>212</v>
      </c>
      <c r="C34" s="35"/>
      <c r="D34" s="61">
        <v>12.113907143595538</v>
      </c>
      <c r="E34" s="62">
        <v>35.919839575750572</v>
      </c>
      <c r="F34" s="62">
        <v>0</v>
      </c>
      <c r="G34" s="62">
        <v>1.8490016695117835</v>
      </c>
      <c r="H34" s="62">
        <v>8.9394834766359761</v>
      </c>
      <c r="I34" s="62">
        <v>1.7255194285834272</v>
      </c>
      <c r="J34" s="62">
        <v>1.7370107925823206</v>
      </c>
      <c r="K34" s="62">
        <v>1.7184480169878191</v>
      </c>
      <c r="L34" s="62">
        <v>1.6348464315981146</v>
      </c>
      <c r="M34" s="62">
        <v>4.5368747876358411</v>
      </c>
      <c r="N34" s="62">
        <v>7.071527880046899</v>
      </c>
      <c r="O34" s="62">
        <v>0</v>
      </c>
      <c r="P34" s="62">
        <v>16.818462973776558</v>
      </c>
      <c r="Q34" s="62">
        <v>0</v>
      </c>
      <c r="R34" s="62">
        <v>1.3609901994499123</v>
      </c>
      <c r="S34" s="62">
        <v>0</v>
      </c>
      <c r="T34" s="62">
        <v>12.90762676491903</v>
      </c>
      <c r="U34" s="62">
        <v>16.928978035547861</v>
      </c>
      <c r="V34" s="62">
        <v>0</v>
      </c>
      <c r="W34" s="62">
        <v>7.2684336034624701</v>
      </c>
      <c r="X34" s="62">
        <v>0.890082856817898</v>
      </c>
      <c r="Y34" s="62">
        <v>0</v>
      </c>
    </row>
    <row r="35" spans="1:25" s="19" customFormat="1" ht="15.95" customHeight="1" x14ac:dyDescent="0.25">
      <c r="A35" s="37"/>
      <c r="B35" s="38" t="s">
        <v>56</v>
      </c>
      <c r="C35" s="35"/>
      <c r="D35" s="61">
        <v>36.981848738491962</v>
      </c>
      <c r="E35" s="62">
        <v>41.838373013362187</v>
      </c>
      <c r="F35" s="62">
        <v>11.32424975204208</v>
      </c>
      <c r="G35" s="62">
        <v>7.2986970115726733</v>
      </c>
      <c r="H35" s="62">
        <v>1.8737264446746233</v>
      </c>
      <c r="I35" s="62">
        <v>9.4486827519769587</v>
      </c>
      <c r="J35" s="62">
        <v>4.4064920223575097</v>
      </c>
      <c r="K35" s="62">
        <v>5.9623788757455776</v>
      </c>
      <c r="L35" s="62">
        <v>2.7107284962073885</v>
      </c>
      <c r="M35" s="62">
        <v>2.4603320683373187</v>
      </c>
      <c r="N35" s="62">
        <v>1.5652119516067244</v>
      </c>
      <c r="O35" s="62">
        <v>6.5784847007942497</v>
      </c>
      <c r="P35" s="62">
        <v>0.84856902389381494</v>
      </c>
      <c r="Q35" s="62">
        <v>0.91199801566537408</v>
      </c>
      <c r="R35" s="62">
        <v>0.60939745004509149</v>
      </c>
      <c r="S35" s="62">
        <v>0.55504134454681964</v>
      </c>
      <c r="T35" s="62">
        <v>1.7598415532530807</v>
      </c>
      <c r="U35" s="62">
        <v>23.475400511871385</v>
      </c>
      <c r="V35" s="62">
        <v>2.697539686848764</v>
      </c>
      <c r="W35" s="62">
        <v>0.32222339266745165</v>
      </c>
      <c r="X35" s="62">
        <v>2.3344570535399147</v>
      </c>
      <c r="Y35" s="62">
        <v>2.0499500669148731</v>
      </c>
    </row>
    <row r="36" spans="1:25" s="19" customFormat="1" ht="15.95" customHeight="1" x14ac:dyDescent="0.25">
      <c r="A36" s="37"/>
      <c r="B36" s="38" t="s">
        <v>57</v>
      </c>
      <c r="C36" s="35"/>
      <c r="D36" s="61">
        <v>22.606496392355513</v>
      </c>
      <c r="E36" s="62">
        <v>39.200024473537589</v>
      </c>
      <c r="F36" s="62">
        <v>19.801715691762759</v>
      </c>
      <c r="G36" s="62">
        <v>0.86072054532448805</v>
      </c>
      <c r="H36" s="62">
        <v>2.7331328440168208</v>
      </c>
      <c r="I36" s="62">
        <v>11.846211601784214</v>
      </c>
      <c r="J36" s="62">
        <v>7.8856470038591508</v>
      </c>
      <c r="K36" s="62">
        <v>7.4431923023791002</v>
      </c>
      <c r="L36" s="62">
        <v>4.2861983789502318</v>
      </c>
      <c r="M36" s="62">
        <v>0.98625325185985602</v>
      </c>
      <c r="N36" s="62">
        <v>0.75248475187914377</v>
      </c>
      <c r="O36" s="62">
        <v>1.2494007975518817</v>
      </c>
      <c r="P36" s="62">
        <v>0</v>
      </c>
      <c r="Q36" s="62">
        <v>2.789823963978066</v>
      </c>
      <c r="R36" s="62">
        <v>13.070259109800526</v>
      </c>
      <c r="S36" s="62">
        <v>0.55494482620965224</v>
      </c>
      <c r="T36" s="62">
        <v>1.6068008280732793</v>
      </c>
      <c r="U36" s="62">
        <v>19.208057433496872</v>
      </c>
      <c r="V36" s="62">
        <v>8.0882907032648212</v>
      </c>
      <c r="W36" s="62">
        <v>1.3241105194416596</v>
      </c>
      <c r="X36" s="62">
        <v>1.6908935646308876</v>
      </c>
      <c r="Y36" s="62">
        <v>3.7504742544504945</v>
      </c>
    </row>
    <row r="37" spans="1:25" s="19" customFormat="1" ht="15.95" customHeight="1" x14ac:dyDescent="0.25">
      <c r="A37" s="37"/>
      <c r="B37" s="38" t="s">
        <v>204</v>
      </c>
      <c r="C37" s="35"/>
      <c r="D37" s="61">
        <v>25.789742371385511</v>
      </c>
      <c r="E37" s="62">
        <v>92.144914083658193</v>
      </c>
      <c r="F37" s="62">
        <v>0</v>
      </c>
      <c r="G37" s="62">
        <v>14.856442214330711</v>
      </c>
      <c r="H37" s="62">
        <v>19.117461595835113</v>
      </c>
      <c r="I37" s="62">
        <v>0</v>
      </c>
      <c r="J37" s="62">
        <v>9.7763946217423445</v>
      </c>
      <c r="K37" s="62">
        <v>0</v>
      </c>
      <c r="L37" s="62">
        <v>100</v>
      </c>
      <c r="M37" s="62">
        <v>25.73145045540705</v>
      </c>
      <c r="N37" s="62">
        <v>0</v>
      </c>
      <c r="O37" s="62">
        <v>0</v>
      </c>
      <c r="P37" s="62">
        <v>20.996408329806151</v>
      </c>
      <c r="Q37" s="62">
        <v>0</v>
      </c>
      <c r="R37" s="62">
        <v>0</v>
      </c>
      <c r="S37" s="62">
        <v>0</v>
      </c>
      <c r="T37" s="62">
        <v>7.4595524346260023</v>
      </c>
      <c r="U37" s="62">
        <v>0</v>
      </c>
      <c r="V37" s="62">
        <v>100</v>
      </c>
      <c r="W37" s="62">
        <v>86.578955914296344</v>
      </c>
      <c r="X37" s="62">
        <v>0</v>
      </c>
      <c r="Y37" s="62">
        <v>0</v>
      </c>
    </row>
    <row r="38" spans="1:25" s="19" customFormat="1" ht="15.95" customHeight="1" x14ac:dyDescent="0.25">
      <c r="A38" s="37"/>
      <c r="B38" s="38" t="s">
        <v>58</v>
      </c>
      <c r="C38" s="35"/>
      <c r="D38" s="61">
        <v>0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</row>
    <row r="39" spans="1:25" s="19" customFormat="1" ht="15.95" customHeight="1" x14ac:dyDescent="0.25">
      <c r="A39" s="37"/>
      <c r="B39" s="38" t="s">
        <v>59</v>
      </c>
      <c r="C39" s="35"/>
      <c r="D39" s="61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</row>
    <row r="40" spans="1:25" s="19" customFormat="1" ht="15.95" customHeight="1" x14ac:dyDescent="0.25">
      <c r="A40" s="37"/>
      <c r="B40" s="38" t="s">
        <v>61</v>
      </c>
      <c r="C40" s="35"/>
      <c r="D40" s="61">
        <v>65.393544773599473</v>
      </c>
      <c r="E40" s="62">
        <v>60.787750553337162</v>
      </c>
      <c r="F40" s="62">
        <v>46.905189371199498</v>
      </c>
      <c r="G40" s="62">
        <v>35.602117969905606</v>
      </c>
      <c r="H40" s="62">
        <v>20.374281422897717</v>
      </c>
      <c r="I40" s="62">
        <v>26.959602802943479</v>
      </c>
      <c r="J40" s="62">
        <v>50.149879923651781</v>
      </c>
      <c r="K40" s="62">
        <v>42.945218937493813</v>
      </c>
      <c r="L40" s="62">
        <v>57.159212206101891</v>
      </c>
      <c r="M40" s="62">
        <v>42.414895082047849</v>
      </c>
      <c r="N40" s="62">
        <v>44.438520555022997</v>
      </c>
      <c r="O40" s="62">
        <v>31.27441111732546</v>
      </c>
      <c r="P40" s="62">
        <v>12.953288870668384</v>
      </c>
      <c r="Q40" s="62">
        <v>34.474680150406797</v>
      </c>
      <c r="R40" s="62">
        <v>13.029194787863045</v>
      </c>
      <c r="S40" s="62">
        <v>5.9086129760631509</v>
      </c>
      <c r="T40" s="62">
        <v>42.531094194251878</v>
      </c>
      <c r="U40" s="62">
        <v>75.496279929473701</v>
      </c>
      <c r="V40" s="62">
        <v>24.084266159583652</v>
      </c>
      <c r="W40" s="62">
        <v>19.840179281829553</v>
      </c>
      <c r="X40" s="62">
        <v>22.068564974589734</v>
      </c>
      <c r="Y40" s="62">
        <v>89.743239739328146</v>
      </c>
    </row>
    <row r="41" spans="1:25" s="19" customFormat="1" ht="15.95" customHeight="1" x14ac:dyDescent="0.25">
      <c r="A41" s="37"/>
      <c r="B41" s="38" t="s">
        <v>60</v>
      </c>
      <c r="C41" s="35"/>
      <c r="D41" s="61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</row>
    <row r="42" spans="1:25" s="19" customFormat="1" ht="15.95" customHeight="1" x14ac:dyDescent="0.25">
      <c r="A42" s="37"/>
      <c r="B42" s="38" t="s">
        <v>117</v>
      </c>
      <c r="C42" s="35"/>
      <c r="D42" s="61">
        <v>0</v>
      </c>
      <c r="E42" s="62">
        <v>0</v>
      </c>
      <c r="F42" s="62">
        <v>0</v>
      </c>
      <c r="G42" s="62">
        <v>54.368839167750231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80.588682251911891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33.190764092053875</v>
      </c>
      <c r="W42" s="62">
        <v>0</v>
      </c>
      <c r="X42" s="62">
        <v>0</v>
      </c>
      <c r="Y42" s="62">
        <v>0</v>
      </c>
    </row>
    <row r="43" spans="1:25" s="19" customFormat="1" ht="4.3499999999999996" customHeight="1" x14ac:dyDescent="0.25">
      <c r="A43" s="39"/>
      <c r="B43" s="40"/>
      <c r="C43" s="41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 s="19" customFormat="1" ht="15.95" customHeight="1" x14ac:dyDescent="0.25">
      <c r="A44" s="37" t="s">
        <v>5</v>
      </c>
      <c r="B44" s="38"/>
      <c r="C44" s="35"/>
      <c r="D44" s="61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s="19" customFormat="1" ht="15.95" customHeight="1" x14ac:dyDescent="0.25">
      <c r="A45" s="37"/>
      <c r="B45" s="38" t="s">
        <v>6</v>
      </c>
      <c r="C45" s="35"/>
      <c r="D45" s="61">
        <v>25.987384396292903</v>
      </c>
      <c r="E45" s="62">
        <v>37.005005126501977</v>
      </c>
      <c r="F45" s="62">
        <v>9.2667129400577508</v>
      </c>
      <c r="G45" s="62">
        <v>3.536145088213726</v>
      </c>
      <c r="H45" s="62">
        <v>1.2811161768846242</v>
      </c>
      <c r="I45" s="62">
        <v>7.0994763597848776</v>
      </c>
      <c r="J45" s="62">
        <v>3.9078889047858087</v>
      </c>
      <c r="K45" s="62">
        <v>3.6121783163185484</v>
      </c>
      <c r="L45" s="62">
        <v>3.3745528554555353</v>
      </c>
      <c r="M45" s="62">
        <v>1.2865308124829371</v>
      </c>
      <c r="N45" s="62">
        <v>0.8667900981904586</v>
      </c>
      <c r="O45" s="62">
        <v>2.942785944090998</v>
      </c>
      <c r="P45" s="62">
        <v>0.79787429601138549</v>
      </c>
      <c r="Q45" s="62">
        <v>1.3430753027488538</v>
      </c>
      <c r="R45" s="62">
        <v>5.376602680833674</v>
      </c>
      <c r="S45" s="62">
        <v>2.2892199996981302</v>
      </c>
      <c r="T45" s="62">
        <v>3.3438450333481242</v>
      </c>
      <c r="U45" s="62">
        <v>22.703552615338683</v>
      </c>
      <c r="V45" s="62">
        <v>1.99160416940467</v>
      </c>
      <c r="W45" s="62">
        <v>1.5510384759144313</v>
      </c>
      <c r="X45" s="62">
        <v>2.1514972059949451</v>
      </c>
      <c r="Y45" s="62">
        <v>2.5475985355892079</v>
      </c>
    </row>
    <row r="46" spans="1:25" s="19" customFormat="1" ht="15.95" customHeight="1" x14ac:dyDescent="0.25">
      <c r="A46" s="37"/>
      <c r="B46" s="38" t="s">
        <v>7</v>
      </c>
      <c r="C46" s="35"/>
      <c r="D46" s="61">
        <v>63.22759884653442</v>
      </c>
      <c r="E46" s="62">
        <v>61.685809902273277</v>
      </c>
      <c r="F46" s="62">
        <v>44.20416926494368</v>
      </c>
      <c r="G46" s="62">
        <v>33.059359569287579</v>
      </c>
      <c r="H46" s="62">
        <v>20.190205408000921</v>
      </c>
      <c r="I46" s="62">
        <v>23.369601916586085</v>
      </c>
      <c r="J46" s="62">
        <v>41.881479547217104</v>
      </c>
      <c r="K46" s="62">
        <v>31.616877420635145</v>
      </c>
      <c r="L46" s="62">
        <v>48.855152312505531</v>
      </c>
      <c r="M46" s="62">
        <v>36.263879168738015</v>
      </c>
      <c r="N46" s="62">
        <v>38.510795987579606</v>
      </c>
      <c r="O46" s="62">
        <v>29.81876812750393</v>
      </c>
      <c r="P46" s="62">
        <v>17.545177143684374</v>
      </c>
      <c r="Q46" s="62">
        <v>33.48244205250262</v>
      </c>
      <c r="R46" s="62">
        <v>14.057850968549713</v>
      </c>
      <c r="S46" s="62">
        <v>4.997071046653101</v>
      </c>
      <c r="T46" s="62">
        <v>26.400013362836674</v>
      </c>
      <c r="U46" s="62">
        <v>70.809545422211301</v>
      </c>
      <c r="V46" s="62">
        <v>21.974039197999705</v>
      </c>
      <c r="W46" s="62">
        <v>31.236775953863503</v>
      </c>
      <c r="X46" s="62">
        <v>20.468119341537282</v>
      </c>
      <c r="Y46" s="62">
        <v>89.743239739328146</v>
      </c>
    </row>
    <row r="47" spans="1:25" s="19" customFormat="1" ht="15.95" customHeight="1" x14ac:dyDescent="0.25">
      <c r="A47" s="37" t="s">
        <v>72</v>
      </c>
      <c r="B47" s="38"/>
      <c r="C47" s="35"/>
      <c r="D47" s="61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s="19" customFormat="1" ht="15.95" customHeight="1" x14ac:dyDescent="0.25">
      <c r="A48" s="37"/>
      <c r="B48" s="38" t="s">
        <v>123</v>
      </c>
      <c r="C48" s="35"/>
      <c r="D48" s="61">
        <v>31.437046960903213</v>
      </c>
      <c r="E48" s="62">
        <v>27.235931046370162</v>
      </c>
      <c r="F48" s="62">
        <v>23.301944573778677</v>
      </c>
      <c r="G48" s="62">
        <v>14.402370800359789</v>
      </c>
      <c r="H48" s="62">
        <v>10.647614836605452</v>
      </c>
      <c r="I48" s="62">
        <v>13.402905200892093</v>
      </c>
      <c r="J48" s="62">
        <v>13.432276918132521</v>
      </c>
      <c r="K48" s="62">
        <v>15.968638551636204</v>
      </c>
      <c r="L48" s="62">
        <v>21.136332902838539</v>
      </c>
      <c r="M48" s="62">
        <v>10.741182552751665</v>
      </c>
      <c r="N48" s="62">
        <v>9.5958837062520566</v>
      </c>
      <c r="O48" s="62">
        <v>13.399623719562959</v>
      </c>
      <c r="P48" s="62">
        <v>3.1899590328924821</v>
      </c>
      <c r="Q48" s="62">
        <v>6.1881589564571229</v>
      </c>
      <c r="R48" s="62">
        <v>14.179843804499324</v>
      </c>
      <c r="S48" s="62">
        <v>3.6752030324339193</v>
      </c>
      <c r="T48" s="62">
        <v>10.540765656512264</v>
      </c>
      <c r="U48" s="62">
        <v>53.923254843050806</v>
      </c>
      <c r="V48" s="62">
        <v>17.40490308682773</v>
      </c>
      <c r="W48" s="62">
        <v>15.176041042953386</v>
      </c>
      <c r="X48" s="62">
        <v>12.642147253999479</v>
      </c>
      <c r="Y48" s="62">
        <v>0</v>
      </c>
    </row>
    <row r="49" spans="1:25" s="19" customFormat="1" ht="15.95" customHeight="1" x14ac:dyDescent="0.25">
      <c r="A49" s="37"/>
      <c r="B49" s="38" t="s">
        <v>124</v>
      </c>
      <c r="C49" s="35"/>
      <c r="D49" s="61">
        <v>24.941743733488376</v>
      </c>
      <c r="E49" s="62">
        <v>43.886565669365737</v>
      </c>
      <c r="F49" s="62">
        <v>9.622584524392785</v>
      </c>
      <c r="G49" s="62">
        <v>4.2648067834058976</v>
      </c>
      <c r="H49" s="62">
        <v>2.1606307409447694</v>
      </c>
      <c r="I49" s="62">
        <v>6.8599906539498541</v>
      </c>
      <c r="J49" s="62">
        <v>4.1503467546287789</v>
      </c>
      <c r="K49" s="62">
        <v>5.7970770625092296</v>
      </c>
      <c r="L49" s="62">
        <v>4.9053381435526173</v>
      </c>
      <c r="M49" s="62">
        <v>2.0527433784276083</v>
      </c>
      <c r="N49" s="62">
        <v>1.2194795594524095</v>
      </c>
      <c r="O49" s="62">
        <v>3.0777850742713744</v>
      </c>
      <c r="P49" s="62">
        <v>0.74852581859386313</v>
      </c>
      <c r="Q49" s="62">
        <v>4.3823862530622426</v>
      </c>
      <c r="R49" s="62">
        <v>5.181346288866485</v>
      </c>
      <c r="S49" s="62">
        <v>4.469816398576814</v>
      </c>
      <c r="T49" s="62">
        <v>4.3686730821931459</v>
      </c>
      <c r="U49" s="62">
        <v>22.940021402827099</v>
      </c>
      <c r="V49" s="62">
        <v>2.8950522739328961</v>
      </c>
      <c r="W49" s="62">
        <v>1.7226679236989073</v>
      </c>
      <c r="X49" s="62">
        <v>2.1329044065559626</v>
      </c>
      <c r="Y49" s="62">
        <v>8.4860392562736369</v>
      </c>
    </row>
    <row r="50" spans="1:25" s="19" customFormat="1" ht="15.95" customHeight="1" x14ac:dyDescent="0.25">
      <c r="A50" s="37"/>
      <c r="B50" s="38" t="s">
        <v>219</v>
      </c>
      <c r="C50" s="35"/>
      <c r="D50" s="61">
        <v>27.171188815526872</v>
      </c>
      <c r="E50" s="62">
        <v>32.322168993416803</v>
      </c>
      <c r="F50" s="62">
        <v>19.381421079465575</v>
      </c>
      <c r="G50" s="62">
        <v>7.233027066764774</v>
      </c>
      <c r="H50" s="62">
        <v>0</v>
      </c>
      <c r="I50" s="62">
        <v>8.0974826018071457</v>
      </c>
      <c r="J50" s="62">
        <v>16.301949562319788</v>
      </c>
      <c r="K50" s="62">
        <v>1.0224216524573198</v>
      </c>
      <c r="L50" s="62">
        <v>9.2973325845737538</v>
      </c>
      <c r="M50" s="62">
        <v>1.9368199144566765</v>
      </c>
      <c r="N50" s="62">
        <v>1.3392000559665072</v>
      </c>
      <c r="O50" s="62">
        <v>0</v>
      </c>
      <c r="P50" s="62">
        <v>0</v>
      </c>
      <c r="Q50" s="62">
        <v>1.235321744093878</v>
      </c>
      <c r="R50" s="62">
        <v>0</v>
      </c>
      <c r="S50" s="62">
        <v>0</v>
      </c>
      <c r="T50" s="62">
        <v>3.0967124497942446</v>
      </c>
      <c r="U50" s="62">
        <v>23.051079923732235</v>
      </c>
      <c r="V50" s="62">
        <v>1.2612348554039732</v>
      </c>
      <c r="W50" s="62">
        <v>0</v>
      </c>
      <c r="X50" s="62">
        <v>1.2109856754684789</v>
      </c>
      <c r="Y50" s="62">
        <v>2.4782490777202706</v>
      </c>
    </row>
    <row r="51" spans="1:25" s="19" customFormat="1" ht="15.95" customHeight="1" x14ac:dyDescent="0.25">
      <c r="A51" s="37"/>
      <c r="B51" s="38" t="s">
        <v>214</v>
      </c>
      <c r="C51" s="35"/>
      <c r="D51" s="61">
        <v>39.963944945013438</v>
      </c>
      <c r="E51" s="62">
        <v>33.74010061414986</v>
      </c>
      <c r="F51" s="62">
        <v>0</v>
      </c>
      <c r="G51" s="62">
        <v>6.8657983737195369</v>
      </c>
      <c r="H51" s="62">
        <v>2.4725436606528715</v>
      </c>
      <c r="I51" s="62">
        <v>1.7694060626157013</v>
      </c>
      <c r="J51" s="62">
        <v>1.4728184374024913</v>
      </c>
      <c r="K51" s="62">
        <v>1.7158418288744828</v>
      </c>
      <c r="L51" s="62">
        <v>1.4064333054939084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2.5195837922726705</v>
      </c>
      <c r="U51" s="62">
        <v>8.3948355205916165</v>
      </c>
      <c r="V51" s="62">
        <v>0.97723932379351341</v>
      </c>
      <c r="W51" s="62">
        <v>22.833178824999326</v>
      </c>
      <c r="X51" s="62">
        <v>4.77682640720945</v>
      </c>
      <c r="Y51" s="62">
        <v>0</v>
      </c>
    </row>
    <row r="52" spans="1:25" s="19" customFormat="1" ht="15.95" customHeight="1" x14ac:dyDescent="0.25">
      <c r="A52" s="37"/>
      <c r="B52" s="38" t="s">
        <v>216</v>
      </c>
      <c r="C52" s="35"/>
      <c r="D52" s="61">
        <v>38.76108122076861</v>
      </c>
      <c r="E52" s="62">
        <v>20.398911395121285</v>
      </c>
      <c r="F52" s="62">
        <v>10.137753161499989</v>
      </c>
      <c r="G52" s="62">
        <v>8.8462484671698807</v>
      </c>
      <c r="H52" s="62">
        <v>0</v>
      </c>
      <c r="I52" s="62">
        <v>6.0733872007678213</v>
      </c>
      <c r="J52" s="62">
        <v>0</v>
      </c>
      <c r="K52" s="62">
        <v>7.8285052767380678</v>
      </c>
      <c r="L52" s="62">
        <v>21.800089812738651</v>
      </c>
      <c r="M52" s="62">
        <v>0</v>
      </c>
      <c r="N52" s="62">
        <v>3.0605995254756855</v>
      </c>
      <c r="O52" s="62">
        <v>7.5410846162785541</v>
      </c>
      <c r="P52" s="62">
        <v>0</v>
      </c>
      <c r="Q52" s="62">
        <v>0</v>
      </c>
      <c r="R52" s="62">
        <v>0.36711774232320127</v>
      </c>
      <c r="S52" s="62">
        <v>0.5336539370430059</v>
      </c>
      <c r="T52" s="62">
        <v>1.7626373791278407</v>
      </c>
      <c r="U52" s="62">
        <v>38.127437173322924</v>
      </c>
      <c r="V52" s="62">
        <v>15.828356178527111</v>
      </c>
      <c r="W52" s="62">
        <v>11.514940996074225</v>
      </c>
      <c r="X52" s="62">
        <v>0</v>
      </c>
      <c r="Y52" s="62">
        <v>0</v>
      </c>
    </row>
    <row r="53" spans="1:25" s="19" customFormat="1" ht="15.95" customHeight="1" x14ac:dyDescent="0.25">
      <c r="A53" s="37"/>
      <c r="B53" s="38" t="s">
        <v>218</v>
      </c>
      <c r="C53" s="35"/>
      <c r="D53" s="61">
        <v>28.93144040411465</v>
      </c>
      <c r="E53" s="62">
        <v>31.796059829051579</v>
      </c>
      <c r="F53" s="62">
        <v>14.318855562244556</v>
      </c>
      <c r="G53" s="62">
        <v>14.273310004797759</v>
      </c>
      <c r="H53" s="62">
        <v>12.961890862738816</v>
      </c>
      <c r="I53" s="62">
        <v>10.564892814564267</v>
      </c>
      <c r="J53" s="62">
        <v>6.6571163570102661</v>
      </c>
      <c r="K53" s="62">
        <v>9.8941049759227031</v>
      </c>
      <c r="L53" s="62">
        <v>14.9548619971532</v>
      </c>
      <c r="M53" s="62">
        <v>9.314930919160247</v>
      </c>
      <c r="N53" s="62">
        <v>14.803107774650483</v>
      </c>
      <c r="O53" s="62">
        <v>8.2390630376590792</v>
      </c>
      <c r="P53" s="62">
        <v>3.7305633950454515</v>
      </c>
      <c r="Q53" s="62">
        <v>15.928509741638376</v>
      </c>
      <c r="R53" s="62">
        <v>8.3099505140756591</v>
      </c>
      <c r="S53" s="62">
        <v>5.705548925375294</v>
      </c>
      <c r="T53" s="62">
        <v>10.700784622518078</v>
      </c>
      <c r="U53" s="62">
        <v>21.732097148659079</v>
      </c>
      <c r="V53" s="62">
        <v>17.793287119916393</v>
      </c>
      <c r="W53" s="62">
        <v>4.7669357993808097</v>
      </c>
      <c r="X53" s="62">
        <v>16.520301229855875</v>
      </c>
      <c r="Y53" s="62">
        <v>45.291066296860386</v>
      </c>
    </row>
    <row r="54" spans="1:25" s="19" customFormat="1" ht="15.95" customHeight="1" x14ac:dyDescent="0.25">
      <c r="A54" s="37"/>
      <c r="B54" s="38" t="s">
        <v>125</v>
      </c>
      <c r="C54" s="35"/>
      <c r="D54" s="61">
        <v>29.999132619825286</v>
      </c>
      <c r="E54" s="62">
        <v>40.068215979814212</v>
      </c>
      <c r="F54" s="62">
        <v>13.004011650885838</v>
      </c>
      <c r="G54" s="62">
        <v>6.0837828425409954</v>
      </c>
      <c r="H54" s="62">
        <v>2.1068859628377639</v>
      </c>
      <c r="I54" s="62">
        <v>9.7501222683341346</v>
      </c>
      <c r="J54" s="62">
        <v>6.6410476827378444</v>
      </c>
      <c r="K54" s="62">
        <v>5.9363990571487939</v>
      </c>
      <c r="L54" s="62">
        <v>6.9025999003765195</v>
      </c>
      <c r="M54" s="62">
        <v>4.9875254157723061</v>
      </c>
      <c r="N54" s="62">
        <v>1.9852221432838668</v>
      </c>
      <c r="O54" s="62">
        <v>7.1932084541270767</v>
      </c>
      <c r="P54" s="62">
        <v>1.6178840294154857</v>
      </c>
      <c r="Q54" s="62">
        <v>2.8578431216827602</v>
      </c>
      <c r="R54" s="62">
        <v>3.0240783514017409</v>
      </c>
      <c r="S54" s="62">
        <v>1.3354384667802717</v>
      </c>
      <c r="T54" s="62">
        <v>4.9949276240378486</v>
      </c>
      <c r="U54" s="62">
        <v>33.859699324136095</v>
      </c>
      <c r="V54" s="62">
        <v>3.56178866214763</v>
      </c>
      <c r="W54" s="62">
        <v>1.5942283886116417</v>
      </c>
      <c r="X54" s="62">
        <v>2.580971595315058</v>
      </c>
      <c r="Y54" s="62">
        <v>1.9879111227719779</v>
      </c>
    </row>
    <row r="55" spans="1:25" s="19" customFormat="1" ht="15.95" customHeight="1" x14ac:dyDescent="0.25">
      <c r="A55" s="37"/>
      <c r="B55" s="38" t="s">
        <v>158</v>
      </c>
      <c r="C55" s="35"/>
      <c r="D55" s="61">
        <v>30.430380913079695</v>
      </c>
      <c r="E55" s="62">
        <v>45.926405605447862</v>
      </c>
      <c r="F55" s="62">
        <v>12.751885058523797</v>
      </c>
      <c r="G55" s="62">
        <v>1.6403759955761406</v>
      </c>
      <c r="H55" s="62">
        <v>1.5784178290907906</v>
      </c>
      <c r="I55" s="62">
        <v>9.6439649919444879</v>
      </c>
      <c r="J55" s="62">
        <v>14.75076765318607</v>
      </c>
      <c r="K55" s="62">
        <v>6.9999022373595254</v>
      </c>
      <c r="L55" s="62">
        <v>4.6442727529534684</v>
      </c>
      <c r="M55" s="62">
        <v>2.083303586693646</v>
      </c>
      <c r="N55" s="62">
        <v>0</v>
      </c>
      <c r="O55" s="62">
        <v>1.9787956861760292</v>
      </c>
      <c r="P55" s="62">
        <v>1.6680362525910704</v>
      </c>
      <c r="Q55" s="62">
        <v>0</v>
      </c>
      <c r="R55" s="62">
        <v>15.470924485160737</v>
      </c>
      <c r="S55" s="62">
        <v>0.4915370915505794</v>
      </c>
      <c r="T55" s="62">
        <v>0</v>
      </c>
      <c r="U55" s="62">
        <v>17.410006320428106</v>
      </c>
      <c r="V55" s="62">
        <v>0.98565325574509011</v>
      </c>
      <c r="W55" s="62">
        <v>2.9525169880545286</v>
      </c>
      <c r="X55" s="62">
        <v>2.3723525930363794</v>
      </c>
      <c r="Y55" s="62">
        <v>0</v>
      </c>
    </row>
    <row r="56" spans="1:25" s="19" customFormat="1" ht="15.95" customHeight="1" x14ac:dyDescent="0.25">
      <c r="A56" s="37"/>
      <c r="B56" s="38" t="s">
        <v>159</v>
      </c>
      <c r="C56" s="35"/>
      <c r="D56" s="61">
        <v>38.684100919430144</v>
      </c>
      <c r="E56" s="62">
        <v>30.366861982749302</v>
      </c>
      <c r="F56" s="62">
        <v>1.69137165557136</v>
      </c>
      <c r="G56" s="62">
        <v>4.6386059408368965</v>
      </c>
      <c r="H56" s="62">
        <v>0</v>
      </c>
      <c r="I56" s="62">
        <v>3.1570800578250759</v>
      </c>
      <c r="J56" s="62">
        <v>0.59890182191606678</v>
      </c>
      <c r="K56" s="62">
        <v>0</v>
      </c>
      <c r="L56" s="62">
        <v>7.9296589862799349</v>
      </c>
      <c r="M56" s="62">
        <v>0</v>
      </c>
      <c r="N56" s="62">
        <v>0</v>
      </c>
      <c r="O56" s="62">
        <v>14.22601074592488</v>
      </c>
      <c r="P56" s="62">
        <v>0</v>
      </c>
      <c r="Q56" s="62">
        <v>2.0307326500366214</v>
      </c>
      <c r="R56" s="62">
        <v>11.100869038875063</v>
      </c>
      <c r="S56" s="62">
        <v>0</v>
      </c>
      <c r="T56" s="62">
        <v>5.9415400016205044</v>
      </c>
      <c r="U56" s="62">
        <v>6.6791809762820238</v>
      </c>
      <c r="V56" s="62">
        <v>4.1493986363124513</v>
      </c>
      <c r="W56" s="62">
        <v>11.272118145836174</v>
      </c>
      <c r="X56" s="62">
        <v>0</v>
      </c>
      <c r="Y56" s="62">
        <v>0</v>
      </c>
    </row>
    <row r="57" spans="1:25" s="19" customFormat="1" ht="15.95" customHeight="1" x14ac:dyDescent="0.25">
      <c r="A57" s="37"/>
      <c r="B57" s="38" t="s">
        <v>75</v>
      </c>
      <c r="C57" s="35"/>
      <c r="D57" s="61">
        <v>57.452583181789294</v>
      </c>
      <c r="E57" s="62">
        <v>6.2288553463190324</v>
      </c>
      <c r="F57" s="62">
        <v>10.751940593160192</v>
      </c>
      <c r="G57" s="62">
        <v>5.3571860870710672</v>
      </c>
      <c r="H57" s="62">
        <v>0</v>
      </c>
      <c r="I57" s="62">
        <v>0</v>
      </c>
      <c r="J57" s="62">
        <v>0</v>
      </c>
      <c r="K57" s="62">
        <v>6.5847703357518119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3.4202822916006599</v>
      </c>
      <c r="X57" s="62">
        <v>0</v>
      </c>
      <c r="Y57" s="62">
        <v>0</v>
      </c>
    </row>
    <row r="58" spans="1:25" s="52" customFormat="1" ht="15.95" customHeight="1" x14ac:dyDescent="0.25">
      <c r="A58" s="63"/>
      <c r="B58" s="64"/>
      <c r="C58" s="142"/>
      <c r="D58" s="6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 spans="1:25" s="73" customFormat="1" ht="15.95" customHeight="1" x14ac:dyDescent="0.25">
      <c r="A59" s="30"/>
      <c r="B59" s="70"/>
      <c r="C59" s="143"/>
      <c r="D59" s="110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</row>
    <row r="60" spans="1:25" s="19" customFormat="1" ht="15.95" customHeight="1" x14ac:dyDescent="0.25">
      <c r="A60" s="37" t="s">
        <v>62</v>
      </c>
      <c r="B60" s="38"/>
      <c r="C60" s="35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spans="1:25" s="19" customFormat="1" ht="15.95" customHeight="1" x14ac:dyDescent="0.25">
      <c r="A61" s="37"/>
      <c r="B61" s="38" t="s">
        <v>129</v>
      </c>
      <c r="C61" s="35"/>
      <c r="D61" s="61">
        <v>27.864206796471823</v>
      </c>
      <c r="E61" s="62">
        <v>41.184388616593374</v>
      </c>
      <c r="F61" s="62">
        <v>11.682290624290626</v>
      </c>
      <c r="G61" s="62">
        <v>10.029459635713916</v>
      </c>
      <c r="H61" s="62">
        <v>8.6898240575243282</v>
      </c>
      <c r="I61" s="62">
        <v>8.8574270490762927</v>
      </c>
      <c r="J61" s="62">
        <v>9.2295133293191505</v>
      </c>
      <c r="K61" s="62">
        <v>10.706512496753547</v>
      </c>
      <c r="L61" s="62">
        <v>9.4959008524139499</v>
      </c>
      <c r="M61" s="62">
        <v>8.2042140184086065</v>
      </c>
      <c r="N61" s="62">
        <v>8.3583737409584788</v>
      </c>
      <c r="O61" s="62">
        <v>7.6075549793318533</v>
      </c>
      <c r="P61" s="62">
        <v>8.2326248934768671</v>
      </c>
      <c r="Q61" s="62">
        <v>8.736195567041003</v>
      </c>
      <c r="R61" s="62">
        <v>5.4332742230660784</v>
      </c>
      <c r="S61" s="62">
        <v>4.2833401377702849</v>
      </c>
      <c r="T61" s="62">
        <v>6.4230536555378421</v>
      </c>
      <c r="U61" s="62">
        <v>35.487786580903709</v>
      </c>
      <c r="V61" s="62">
        <v>8.0198227129827142</v>
      </c>
      <c r="W61" s="62">
        <v>3.6990635313196507</v>
      </c>
      <c r="X61" s="62">
        <v>0</v>
      </c>
      <c r="Y61" s="62">
        <v>0</v>
      </c>
    </row>
    <row r="62" spans="1:25" s="19" customFormat="1" ht="15.95" customHeight="1" x14ac:dyDescent="0.25">
      <c r="A62" s="37"/>
      <c r="B62" s="38" t="s">
        <v>130</v>
      </c>
      <c r="C62" s="35"/>
      <c r="D62" s="61">
        <v>28.264820819733607</v>
      </c>
      <c r="E62" s="62">
        <v>41.435537791472996</v>
      </c>
      <c r="F62" s="62">
        <v>15.480251033495021</v>
      </c>
      <c r="G62" s="62">
        <v>10.369466295372423</v>
      </c>
      <c r="H62" s="62">
        <v>7.4027807370231411</v>
      </c>
      <c r="I62" s="62">
        <v>8.055049063160002</v>
      </c>
      <c r="J62" s="62">
        <v>9.6067732121882674</v>
      </c>
      <c r="K62" s="62">
        <v>10.35352153233727</v>
      </c>
      <c r="L62" s="62">
        <v>9.2016843035929536</v>
      </c>
      <c r="M62" s="62">
        <v>8.1828501951800927</v>
      </c>
      <c r="N62" s="62">
        <v>7.4039510698527877</v>
      </c>
      <c r="O62" s="62">
        <v>7.2331267248211111</v>
      </c>
      <c r="P62" s="62">
        <v>9.2241037412536251</v>
      </c>
      <c r="Q62" s="62">
        <v>8.8925729054573637</v>
      </c>
      <c r="R62" s="62">
        <v>5.4474281797763719</v>
      </c>
      <c r="S62" s="62">
        <v>5.6004795346862641</v>
      </c>
      <c r="T62" s="62">
        <v>6.9607946151570435</v>
      </c>
      <c r="U62" s="62">
        <v>37.994660019681753</v>
      </c>
      <c r="V62" s="62">
        <v>6.7395499462224935</v>
      </c>
      <c r="W62" s="62">
        <v>4.8748904456502204</v>
      </c>
      <c r="X62" s="62">
        <v>11.05551665694977</v>
      </c>
      <c r="Y62" s="62">
        <v>12.931727603410531</v>
      </c>
    </row>
    <row r="63" spans="1:25" s="19" customFormat="1" ht="15.95" customHeight="1" x14ac:dyDescent="0.25">
      <c r="A63" s="37"/>
      <c r="B63" s="38" t="s">
        <v>131</v>
      </c>
      <c r="C63" s="35"/>
      <c r="D63" s="61">
        <v>29.107362625263441</v>
      </c>
      <c r="E63" s="62">
        <v>41.874106515486453</v>
      </c>
      <c r="F63" s="62">
        <v>13.513208450430705</v>
      </c>
      <c r="G63" s="62">
        <v>10.208265740725526</v>
      </c>
      <c r="H63" s="62">
        <v>6.8679836796371179</v>
      </c>
      <c r="I63" s="62">
        <v>8.6787435859300537</v>
      </c>
      <c r="J63" s="62">
        <v>7.5858591043440624</v>
      </c>
      <c r="K63" s="62">
        <v>11.356864157464376</v>
      </c>
      <c r="L63" s="62">
        <v>11.505419547602502</v>
      </c>
      <c r="M63" s="62">
        <v>6.7718872957131229</v>
      </c>
      <c r="N63" s="62">
        <v>9.2643789098114464</v>
      </c>
      <c r="O63" s="62">
        <v>7.6266773229670335</v>
      </c>
      <c r="P63" s="62">
        <v>9.4589169527552919</v>
      </c>
      <c r="Q63" s="62">
        <v>9.2341350207313262</v>
      </c>
      <c r="R63" s="62">
        <v>3.6483668549459316</v>
      </c>
      <c r="S63" s="62">
        <v>5.7585611679612381</v>
      </c>
      <c r="T63" s="62">
        <v>8.8447479253652137</v>
      </c>
      <c r="U63" s="62">
        <v>37.697660746011444</v>
      </c>
      <c r="V63" s="62">
        <v>6.8532222975854866</v>
      </c>
      <c r="W63" s="62">
        <v>4.5305514924188488</v>
      </c>
      <c r="X63" s="62">
        <v>13.484456434724407</v>
      </c>
      <c r="Y63" s="62">
        <v>11.650798124325135</v>
      </c>
    </row>
    <row r="64" spans="1:25" s="19" customFormat="1" ht="15.95" customHeight="1" x14ac:dyDescent="0.25">
      <c r="A64" s="37"/>
      <c r="B64" s="38" t="s">
        <v>132</v>
      </c>
      <c r="C64" s="35"/>
      <c r="D64" s="61">
        <v>27.583427434457857</v>
      </c>
      <c r="E64" s="62">
        <v>43.247804081756961</v>
      </c>
      <c r="F64" s="62">
        <v>15.092549216764299</v>
      </c>
      <c r="G64" s="62">
        <v>10.677443514262711</v>
      </c>
      <c r="H64" s="62">
        <v>6.7663497273157951</v>
      </c>
      <c r="I64" s="62">
        <v>8.7640490377548961</v>
      </c>
      <c r="J64" s="62">
        <v>11.067107888501148</v>
      </c>
      <c r="K64" s="62">
        <v>9.8127063801210461</v>
      </c>
      <c r="L64" s="62">
        <v>9.5206992629553966</v>
      </c>
      <c r="M64" s="62">
        <v>7.0999850015192187</v>
      </c>
      <c r="N64" s="62">
        <v>7.2298361948966203</v>
      </c>
      <c r="O64" s="62">
        <v>8.413212513819559</v>
      </c>
      <c r="P64" s="62">
        <v>7.7468515584125344</v>
      </c>
      <c r="Q64" s="62">
        <v>7.4022996916778538</v>
      </c>
      <c r="R64" s="62">
        <v>4.7113999176853403</v>
      </c>
      <c r="S64" s="62">
        <v>6.0575901504508955</v>
      </c>
      <c r="T64" s="62">
        <v>8.8384376757066008</v>
      </c>
      <c r="U64" s="62">
        <v>42.484578999693305</v>
      </c>
      <c r="V64" s="62">
        <v>8.1782997848725962</v>
      </c>
      <c r="W64" s="62">
        <v>4.3863338733142792</v>
      </c>
      <c r="X64" s="62">
        <v>10.388942052029208</v>
      </c>
      <c r="Y64" s="62">
        <v>13.208125237841415</v>
      </c>
    </row>
    <row r="65" spans="1:25" s="19" customFormat="1" ht="15.95" customHeight="1" x14ac:dyDescent="0.25">
      <c r="A65" s="37"/>
      <c r="B65" s="38" t="s">
        <v>133</v>
      </c>
      <c r="C65" s="35"/>
      <c r="D65" s="61">
        <v>30.772853456403219</v>
      </c>
      <c r="E65" s="62">
        <v>42.596795508304027</v>
      </c>
      <c r="F65" s="62">
        <v>12.767674493086432</v>
      </c>
      <c r="G65" s="62">
        <v>8.7901965910127782</v>
      </c>
      <c r="H65" s="62">
        <v>6.0542771719160839</v>
      </c>
      <c r="I65" s="62">
        <v>9.0719523982038002</v>
      </c>
      <c r="J65" s="62">
        <v>8.3866975646648019</v>
      </c>
      <c r="K65" s="62">
        <v>12.024786880893052</v>
      </c>
      <c r="L65" s="62">
        <v>9.805161557864924</v>
      </c>
      <c r="M65" s="62">
        <v>5.846008302885715</v>
      </c>
      <c r="N65" s="62">
        <v>7.6502869502364934</v>
      </c>
      <c r="O65" s="62">
        <v>6.8009505884602479</v>
      </c>
      <c r="P65" s="62">
        <v>8.3938367752973537</v>
      </c>
      <c r="Q65" s="62">
        <v>8.2495636532664705</v>
      </c>
      <c r="R65" s="62">
        <v>4.2610516780265266</v>
      </c>
      <c r="S65" s="62">
        <v>4.9537249278243385</v>
      </c>
      <c r="T65" s="62">
        <v>8.098631321837086</v>
      </c>
      <c r="U65" s="62">
        <v>39.90250204601341</v>
      </c>
      <c r="V65" s="62">
        <v>7.4218653067738449</v>
      </c>
      <c r="W65" s="62">
        <v>5.1605023660319302</v>
      </c>
      <c r="X65" s="62">
        <v>11.787454907014126</v>
      </c>
      <c r="Y65" s="62">
        <v>11.562652929111433</v>
      </c>
    </row>
    <row r="66" spans="1:25" s="19" customFormat="1" ht="15.95" customHeight="1" x14ac:dyDescent="0.25">
      <c r="A66" s="37"/>
      <c r="B66" s="38" t="s">
        <v>134</v>
      </c>
      <c r="C66" s="35"/>
      <c r="D66" s="61">
        <v>33.779239630486543</v>
      </c>
      <c r="E66" s="62">
        <v>44.154039776081113</v>
      </c>
      <c r="F66" s="62">
        <v>14.249327184169497</v>
      </c>
      <c r="G66" s="62">
        <v>11.424848357578163</v>
      </c>
      <c r="H66" s="62">
        <v>6.1960255890098974</v>
      </c>
      <c r="I66" s="62">
        <v>9.6048223502438841</v>
      </c>
      <c r="J66" s="62">
        <v>11.672220112687388</v>
      </c>
      <c r="K66" s="62">
        <v>10.189164507859376</v>
      </c>
      <c r="L66" s="62">
        <v>9.3895261475640002</v>
      </c>
      <c r="M66" s="62">
        <v>7.2647533498022447</v>
      </c>
      <c r="N66" s="62">
        <v>6.9068643225512938</v>
      </c>
      <c r="O66" s="62">
        <v>5.8849171512037541</v>
      </c>
      <c r="P66" s="62">
        <v>6.5255085068115415</v>
      </c>
      <c r="Q66" s="62">
        <v>8.2842444628575294</v>
      </c>
      <c r="R66" s="62">
        <v>4.1042637571841274</v>
      </c>
      <c r="S66" s="62">
        <v>6.037720890003146</v>
      </c>
      <c r="T66" s="62">
        <v>8.5451732781579537</v>
      </c>
      <c r="U66" s="62">
        <v>39.773357374364615</v>
      </c>
      <c r="V66" s="62">
        <v>8.9821264858000571</v>
      </c>
      <c r="W66" s="62">
        <v>6.0982238643286006</v>
      </c>
      <c r="X66" s="62">
        <v>8.3723404920228699</v>
      </c>
      <c r="Y66" s="62">
        <v>6.6501081768899377</v>
      </c>
    </row>
    <row r="67" spans="1:25" s="19" customFormat="1" ht="15.95" customHeight="1" x14ac:dyDescent="0.25">
      <c r="A67" s="37"/>
      <c r="B67" s="38" t="s">
        <v>135</v>
      </c>
      <c r="C67" s="35"/>
      <c r="D67" s="61">
        <v>33.325132342319094</v>
      </c>
      <c r="E67" s="62">
        <v>44.124996334404621</v>
      </c>
      <c r="F67" s="62">
        <v>13.037450895891077</v>
      </c>
      <c r="G67" s="62">
        <v>10.693507937151072</v>
      </c>
      <c r="H67" s="62">
        <v>6.7181970270846465</v>
      </c>
      <c r="I67" s="62">
        <v>8.566469050243672</v>
      </c>
      <c r="J67" s="62">
        <v>9.0709872225703165</v>
      </c>
      <c r="K67" s="62">
        <v>9.2459656949386648</v>
      </c>
      <c r="L67" s="62">
        <v>7.4689267824935737</v>
      </c>
      <c r="M67" s="62">
        <v>8.0149446392470072</v>
      </c>
      <c r="N67" s="62">
        <v>5.702368503912755</v>
      </c>
      <c r="O67" s="62">
        <v>6.0246686220084227</v>
      </c>
      <c r="P67" s="62">
        <v>7.6786180103637269</v>
      </c>
      <c r="Q67" s="62">
        <v>6.5767253205327476</v>
      </c>
      <c r="R67" s="62">
        <v>4.2041517719544812</v>
      </c>
      <c r="S67" s="62">
        <v>3.5275763008160079</v>
      </c>
      <c r="T67" s="62">
        <v>7.241477134016213</v>
      </c>
      <c r="U67" s="62">
        <v>37.615619956569525</v>
      </c>
      <c r="V67" s="62">
        <v>8.920096821069242</v>
      </c>
      <c r="W67" s="62">
        <v>6.9695069151844464</v>
      </c>
      <c r="X67" s="62">
        <v>8.7401931322113686</v>
      </c>
      <c r="Y67" s="62">
        <v>12.014835349995264</v>
      </c>
    </row>
    <row r="68" spans="1:25" s="19" customFormat="1" ht="15.95" customHeight="1" x14ac:dyDescent="0.25">
      <c r="A68" s="37"/>
      <c r="B68" s="38" t="s">
        <v>136</v>
      </c>
      <c r="C68" s="35"/>
      <c r="D68" s="61">
        <v>32.156271132104784</v>
      </c>
      <c r="E68" s="62">
        <v>45.635005897008597</v>
      </c>
      <c r="F68" s="62">
        <v>15.032925973290524</v>
      </c>
      <c r="G68" s="62">
        <v>10.272511174059328</v>
      </c>
      <c r="H68" s="62">
        <v>5.1238784454205435</v>
      </c>
      <c r="I68" s="62">
        <v>8.9753158904587789</v>
      </c>
      <c r="J68" s="62">
        <v>8.197766621562991</v>
      </c>
      <c r="K68" s="62">
        <v>11.11847176724082</v>
      </c>
      <c r="L68" s="62">
        <v>9.9763441269956434</v>
      </c>
      <c r="M68" s="62">
        <v>7.7287590258055143</v>
      </c>
      <c r="N68" s="62">
        <v>7.7751909154440231</v>
      </c>
      <c r="O68" s="62">
        <v>7.8504469720386085</v>
      </c>
      <c r="P68" s="62">
        <v>8.0022403099999142</v>
      </c>
      <c r="Q68" s="62">
        <v>6.9174499471255739</v>
      </c>
      <c r="R68" s="62">
        <v>4.0412902886258717</v>
      </c>
      <c r="S68" s="62">
        <v>4.0949091530608266</v>
      </c>
      <c r="T68" s="62">
        <v>7.3246334666455404</v>
      </c>
      <c r="U68" s="62">
        <v>36.300941715507726</v>
      </c>
      <c r="V68" s="62">
        <v>8.9212145132742915</v>
      </c>
      <c r="W68" s="62">
        <v>5.763511069191865</v>
      </c>
      <c r="X68" s="62">
        <v>7.7322424526290465</v>
      </c>
      <c r="Y68" s="62">
        <v>10.284638049238911</v>
      </c>
    </row>
    <row r="69" spans="1:25" s="19" customFormat="1" ht="15.95" customHeight="1" x14ac:dyDescent="0.25">
      <c r="A69" s="37"/>
      <c r="B69" s="38" t="s">
        <v>192</v>
      </c>
      <c r="C69" s="35"/>
      <c r="D69" s="61">
        <v>32.053729126668657</v>
      </c>
      <c r="E69" s="62">
        <v>43.234809471537936</v>
      </c>
      <c r="F69" s="62">
        <v>11.777497618590575</v>
      </c>
      <c r="G69" s="62">
        <v>6.6468243982791408</v>
      </c>
      <c r="H69" s="62">
        <v>5.3406504248298292</v>
      </c>
      <c r="I69" s="62">
        <v>6.4704903194227246</v>
      </c>
      <c r="J69" s="62">
        <v>7.6876985765773558</v>
      </c>
      <c r="K69" s="62">
        <v>5.5031505945663968</v>
      </c>
      <c r="L69" s="62">
        <v>6.8440891200782081</v>
      </c>
      <c r="M69" s="62">
        <v>4.6807760363281998</v>
      </c>
      <c r="N69" s="62">
        <v>6.646450799794656</v>
      </c>
      <c r="O69" s="62">
        <v>5.2678961985948956</v>
      </c>
      <c r="P69" s="62">
        <v>8.1512517501820962</v>
      </c>
      <c r="Q69" s="62">
        <v>4.4897879188783838</v>
      </c>
      <c r="R69" s="62">
        <v>1.4707265952347641</v>
      </c>
      <c r="S69" s="62">
        <v>3.940549228062876</v>
      </c>
      <c r="T69" s="62">
        <v>4.2278839665898982</v>
      </c>
      <c r="U69" s="62">
        <v>29.334014295439015</v>
      </c>
      <c r="V69" s="62">
        <v>6.2535233865130877</v>
      </c>
      <c r="W69" s="62">
        <v>4.5337928047598917</v>
      </c>
      <c r="X69" s="62">
        <v>9.326184285102439</v>
      </c>
      <c r="Y69" s="62">
        <v>9.5283388033072498</v>
      </c>
    </row>
    <row r="70" spans="1:25" s="19" customFormat="1" ht="15.95" customHeight="1" x14ac:dyDescent="0.25">
      <c r="A70" s="37"/>
      <c r="B70" s="38" t="s">
        <v>195</v>
      </c>
      <c r="C70" s="35"/>
      <c r="D70" s="61">
        <v>26.84600575402802</v>
      </c>
      <c r="E70" s="62">
        <v>43.390127018176763</v>
      </c>
      <c r="F70" s="62">
        <v>9.6012345848212064</v>
      </c>
      <c r="G70" s="62">
        <v>7.6716163359534972</v>
      </c>
      <c r="H70" s="62">
        <v>5.0212622924424011</v>
      </c>
      <c r="I70" s="62">
        <v>7.792739954591954</v>
      </c>
      <c r="J70" s="62">
        <v>6.2120334665248196</v>
      </c>
      <c r="K70" s="62">
        <v>5.0082557686440756</v>
      </c>
      <c r="L70" s="62">
        <v>5.6302777079699524</v>
      </c>
      <c r="M70" s="62">
        <v>4.829692493384683</v>
      </c>
      <c r="N70" s="62">
        <v>4.1517717799587315</v>
      </c>
      <c r="O70" s="62">
        <v>4.5546098421681416</v>
      </c>
      <c r="P70" s="62">
        <v>3.4592053039754029</v>
      </c>
      <c r="Q70" s="62">
        <v>8.2489735836401223</v>
      </c>
      <c r="R70" s="62">
        <v>3.132001450460681</v>
      </c>
      <c r="S70" s="62">
        <v>2.7561043372433645</v>
      </c>
      <c r="T70" s="62">
        <v>3.2104986387752028</v>
      </c>
      <c r="U70" s="62">
        <v>33.860480759505322</v>
      </c>
      <c r="V70" s="62">
        <v>6.6509582307799011</v>
      </c>
      <c r="W70" s="62">
        <v>4.3009943474746954</v>
      </c>
      <c r="X70" s="62">
        <v>4.8929343052021119</v>
      </c>
      <c r="Y70" s="62">
        <v>7.1017985646621549</v>
      </c>
    </row>
    <row r="71" spans="1:25" s="19" customFormat="1" ht="15.95" customHeight="1" x14ac:dyDescent="0.25">
      <c r="A71" s="37"/>
      <c r="B71" s="38" t="s">
        <v>206</v>
      </c>
      <c r="C71" s="35"/>
      <c r="D71" s="61">
        <f>D$9</f>
        <v>28.817577787698255</v>
      </c>
      <c r="E71" s="62">
        <f t="shared" ref="E71:Y71" si="0">E$9</f>
        <v>39.633533412537979</v>
      </c>
      <c r="F71" s="62">
        <f t="shared" si="0"/>
        <v>12.478019713213257</v>
      </c>
      <c r="G71" s="62">
        <f t="shared" si="0"/>
        <v>6.3090986295590552</v>
      </c>
      <c r="H71" s="62">
        <f t="shared" si="0"/>
        <v>3.139298253320614</v>
      </c>
      <c r="I71" s="62">
        <f t="shared" si="0"/>
        <v>8.6422263721259398</v>
      </c>
      <c r="J71" s="62">
        <f t="shared" si="0"/>
        <v>6.9394954053619653</v>
      </c>
      <c r="K71" s="62">
        <f t="shared" si="0"/>
        <v>6.4404314871726633</v>
      </c>
      <c r="L71" s="62">
        <f t="shared" si="0"/>
        <v>8.0259794228016723</v>
      </c>
      <c r="M71" s="62">
        <f t="shared" si="0"/>
        <v>4.1089492915937642</v>
      </c>
      <c r="N71" s="62">
        <f t="shared" si="0"/>
        <v>3.2535305355881836</v>
      </c>
      <c r="O71" s="62">
        <f t="shared" si="0"/>
        <v>6.1948240456619166</v>
      </c>
      <c r="P71" s="62">
        <f t="shared" si="0"/>
        <v>1.5016443212008219</v>
      </c>
      <c r="Q71" s="62">
        <f t="shared" si="0"/>
        <v>4.5567939589296209</v>
      </c>
      <c r="R71" s="62">
        <f t="shared" si="0"/>
        <v>6.1723157866452629</v>
      </c>
      <c r="S71" s="62">
        <f t="shared" si="0"/>
        <v>2.6145028575020004</v>
      </c>
      <c r="T71" s="62">
        <f t="shared" si="0"/>
        <v>4.7815562918756811</v>
      </c>
      <c r="U71" s="62">
        <f t="shared" si="0"/>
        <v>27.10946519963862</v>
      </c>
      <c r="V71" s="62">
        <f t="shared" si="0"/>
        <v>4.5705290245782404</v>
      </c>
      <c r="W71" s="62">
        <f t="shared" si="0"/>
        <v>4.7954075831111007</v>
      </c>
      <c r="X71" s="62">
        <f t="shared" si="0"/>
        <v>3.9253120048259298</v>
      </c>
      <c r="Y71" s="62">
        <f t="shared" si="0"/>
        <v>6.6215449152575516</v>
      </c>
    </row>
    <row r="72" spans="1:25" s="23" customFormat="1" ht="6" customHeight="1" x14ac:dyDescent="0.25">
      <c r="A72" s="39"/>
      <c r="B72" s="40"/>
      <c r="C72" s="41"/>
      <c r="D72" s="42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6.5" customHeight="1" x14ac:dyDescent="0.25">
      <c r="A73" s="44"/>
      <c r="O73" s="144"/>
    </row>
  </sheetData>
  <mergeCells count="4">
    <mergeCell ref="A3:N3"/>
    <mergeCell ref="A5:C5"/>
    <mergeCell ref="A1:N1"/>
    <mergeCell ref="A2:N2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43" max="16383" man="1"/>
  </rowBreaks>
  <colBreaks count="1" manualBreakCount="1">
    <brk id="1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4877-2FAF-4779-90A2-0DE0640707A0}">
  <sheetPr codeName="工作表80"/>
  <dimension ref="A14:I23"/>
  <sheetViews>
    <sheetView showGridLines="0" view="pageBreakPreview" zoomScale="120" zoomScaleNormal="85" zoomScaleSheetLayoutView="120" workbookViewId="0"/>
  </sheetViews>
  <sheetFormatPr defaultColWidth="9" defaultRowHeight="11.1" customHeight="1" x14ac:dyDescent="0.25"/>
  <cols>
    <col min="1" max="1" width="3.625" style="18" customWidth="1"/>
    <col min="2" max="2" width="9" style="44"/>
    <col min="3" max="3" width="9" style="48"/>
    <col min="4" max="5" width="9" style="46"/>
    <col min="6" max="8" width="9" style="47"/>
    <col min="9" max="16384" width="9" style="46"/>
  </cols>
  <sheetData>
    <row r="14" spans="2:9" ht="11.1" customHeight="1" thickBot="1" x14ac:dyDescent="0.3"/>
    <row r="15" spans="2:9" ht="11.1" customHeight="1" x14ac:dyDescent="0.25">
      <c r="B15" s="292" t="s">
        <v>156</v>
      </c>
      <c r="C15" s="247"/>
      <c r="D15" s="247"/>
      <c r="E15" s="247"/>
      <c r="F15" s="247"/>
      <c r="G15" s="247"/>
      <c r="H15" s="247"/>
      <c r="I15" s="248"/>
    </row>
    <row r="16" spans="2:9" ht="11.1" customHeight="1" x14ac:dyDescent="0.25">
      <c r="B16" s="249"/>
      <c r="C16" s="250"/>
      <c r="D16" s="250"/>
      <c r="E16" s="250"/>
      <c r="F16" s="250"/>
      <c r="G16" s="250"/>
      <c r="H16" s="250"/>
      <c r="I16" s="251"/>
    </row>
    <row r="17" spans="2:9" ht="11.1" customHeight="1" x14ac:dyDescent="0.25">
      <c r="B17" s="249"/>
      <c r="C17" s="250"/>
      <c r="D17" s="250"/>
      <c r="E17" s="250"/>
      <c r="F17" s="250"/>
      <c r="G17" s="250"/>
      <c r="H17" s="250"/>
      <c r="I17" s="251"/>
    </row>
    <row r="18" spans="2:9" ht="11.1" customHeight="1" x14ac:dyDescent="0.25">
      <c r="B18" s="249"/>
      <c r="C18" s="250"/>
      <c r="D18" s="250"/>
      <c r="E18" s="250"/>
      <c r="F18" s="250"/>
      <c r="G18" s="250"/>
      <c r="H18" s="250"/>
      <c r="I18" s="251"/>
    </row>
    <row r="19" spans="2:9" ht="11.1" customHeight="1" x14ac:dyDescent="0.25">
      <c r="B19" s="249"/>
      <c r="C19" s="250"/>
      <c r="D19" s="250"/>
      <c r="E19" s="250"/>
      <c r="F19" s="250"/>
      <c r="G19" s="250"/>
      <c r="H19" s="250"/>
      <c r="I19" s="251"/>
    </row>
    <row r="20" spans="2:9" ht="11.1" customHeight="1" x14ac:dyDescent="0.25">
      <c r="B20" s="249"/>
      <c r="C20" s="250"/>
      <c r="D20" s="250"/>
      <c r="E20" s="250"/>
      <c r="F20" s="250"/>
      <c r="G20" s="250"/>
      <c r="H20" s="250"/>
      <c r="I20" s="251"/>
    </row>
    <row r="21" spans="2:9" ht="11.1" customHeight="1" x14ac:dyDescent="0.25">
      <c r="B21" s="249"/>
      <c r="C21" s="250"/>
      <c r="D21" s="250"/>
      <c r="E21" s="250"/>
      <c r="F21" s="250"/>
      <c r="G21" s="250"/>
      <c r="H21" s="250"/>
      <c r="I21" s="251"/>
    </row>
    <row r="22" spans="2:9" ht="11.1" customHeight="1" x14ac:dyDescent="0.25">
      <c r="B22" s="249"/>
      <c r="C22" s="250"/>
      <c r="D22" s="250"/>
      <c r="E22" s="250"/>
      <c r="F22" s="250"/>
      <c r="G22" s="250"/>
      <c r="H22" s="250"/>
      <c r="I22" s="251"/>
    </row>
    <row r="23" spans="2:9" ht="11.1" customHeight="1" thickBot="1" x14ac:dyDescent="0.3">
      <c r="B23" s="252"/>
      <c r="C23" s="253"/>
      <c r="D23" s="253"/>
      <c r="E23" s="253"/>
      <c r="F23" s="253"/>
      <c r="G23" s="253"/>
      <c r="H23" s="253"/>
      <c r="I23" s="254"/>
    </row>
  </sheetData>
  <mergeCells count="1">
    <mergeCell ref="B15:I23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firstPageNumber="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E329-6785-4CE2-9ECF-ECAE50C124F1}">
  <sheetPr codeName="工作表32"/>
  <dimension ref="A1:L118"/>
  <sheetViews>
    <sheetView showGridLines="0" view="pageBreakPreview" zoomScale="130" zoomScaleNormal="100" zoomScaleSheetLayoutView="130" workbookViewId="0">
      <selection sqref="A1:L1"/>
    </sheetView>
  </sheetViews>
  <sheetFormatPr defaultColWidth="9" defaultRowHeight="11.1" customHeight="1" x14ac:dyDescent="0.25"/>
  <cols>
    <col min="1" max="1" width="1" style="18" customWidth="1"/>
    <col min="2" max="2" width="17.75" style="44" bestFit="1" customWidth="1"/>
    <col min="3" max="3" width="2.5" style="45" customWidth="1"/>
    <col min="4" max="4" width="7.375" style="88" customWidth="1"/>
    <col min="5" max="5" width="7.75" style="134" customWidth="1"/>
    <col min="6" max="12" width="6.625" style="47" customWidth="1"/>
    <col min="13" max="16384" width="9" style="46"/>
  </cols>
  <sheetData>
    <row r="1" spans="1:12" s="14" customFormat="1" ht="22.15" customHeight="1" x14ac:dyDescent="0.25">
      <c r="A1" s="255" t="s">
        <v>235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</row>
    <row r="2" spans="1:12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</row>
    <row r="3" spans="1:12" s="19" customFormat="1" ht="13.5" customHeight="1" x14ac:dyDescent="0.25">
      <c r="A3" s="257" t="s">
        <v>99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</row>
    <row r="4" spans="1:12" s="28" customFormat="1" ht="13.5" x14ac:dyDescent="0.25">
      <c r="A4" s="24"/>
      <c r="B4" s="24"/>
      <c r="C4" s="24"/>
      <c r="D4" s="74"/>
      <c r="E4" s="132"/>
      <c r="F4" s="26"/>
      <c r="G4" s="75"/>
      <c r="H4" s="75"/>
      <c r="I4" s="75"/>
      <c r="J4" s="75"/>
      <c r="K4" s="75"/>
      <c r="L4" s="76" t="s">
        <v>119</v>
      </c>
    </row>
    <row r="5" spans="1:12" s="19" customFormat="1" ht="9.75" customHeight="1" x14ac:dyDescent="0.25">
      <c r="A5" s="258" t="s">
        <v>21</v>
      </c>
      <c r="B5" s="258"/>
      <c r="C5" s="259"/>
      <c r="D5" s="259" t="s">
        <v>312</v>
      </c>
      <c r="E5" s="293" t="s">
        <v>71</v>
      </c>
      <c r="F5" s="264" t="s">
        <v>81</v>
      </c>
      <c r="G5" s="51"/>
      <c r="H5" s="51"/>
      <c r="I5" s="51"/>
      <c r="J5" s="51"/>
      <c r="K5" s="51"/>
      <c r="L5" s="51"/>
    </row>
    <row r="6" spans="1:12" s="19" customFormat="1" ht="12.75" customHeight="1" x14ac:dyDescent="0.25">
      <c r="A6" s="260"/>
      <c r="B6" s="260"/>
      <c r="C6" s="261"/>
      <c r="D6" s="261"/>
      <c r="E6" s="294"/>
      <c r="F6" s="265"/>
      <c r="G6" s="267" t="s">
        <v>150</v>
      </c>
      <c r="H6" s="267" t="s">
        <v>151</v>
      </c>
      <c r="I6" s="267" t="s">
        <v>152</v>
      </c>
      <c r="J6" s="267" t="s">
        <v>153</v>
      </c>
      <c r="K6" s="267" t="s">
        <v>154</v>
      </c>
      <c r="L6" s="269" t="s">
        <v>155</v>
      </c>
    </row>
    <row r="7" spans="1:12" s="19" customFormat="1" ht="23.25" customHeight="1" x14ac:dyDescent="0.25">
      <c r="A7" s="262"/>
      <c r="B7" s="262"/>
      <c r="C7" s="263"/>
      <c r="D7" s="263"/>
      <c r="E7" s="268"/>
      <c r="F7" s="266"/>
      <c r="G7" s="268"/>
      <c r="H7" s="268"/>
      <c r="I7" s="268"/>
      <c r="J7" s="268"/>
      <c r="K7" s="268"/>
      <c r="L7" s="266"/>
    </row>
    <row r="8" spans="1:12" s="19" customFormat="1" ht="4.5" customHeight="1" x14ac:dyDescent="0.25">
      <c r="A8" s="30"/>
      <c r="B8" s="31"/>
      <c r="C8" s="77"/>
      <c r="D8" s="79"/>
      <c r="E8" s="133"/>
      <c r="F8" s="80"/>
      <c r="G8" s="81"/>
      <c r="H8" s="81"/>
      <c r="I8" s="81"/>
      <c r="J8" s="81"/>
      <c r="K8" s="81"/>
      <c r="L8" s="81"/>
    </row>
    <row r="9" spans="1:12" s="18" customFormat="1" ht="11.1" customHeight="1" x14ac:dyDescent="0.25">
      <c r="A9" s="33" t="s">
        <v>22</v>
      </c>
      <c r="B9" s="54"/>
      <c r="C9" s="55"/>
      <c r="D9" s="98">
        <v>26053.682688391149</v>
      </c>
      <c r="E9" s="99">
        <v>1.2266135283217163</v>
      </c>
      <c r="F9" s="57">
        <v>100</v>
      </c>
      <c r="G9" s="58">
        <v>83.657346882808966</v>
      </c>
      <c r="H9" s="58">
        <v>11.43928398773261</v>
      </c>
      <c r="I9" s="58">
        <v>3.7395352765826573</v>
      </c>
      <c r="J9" s="58">
        <v>0.96294674510463707</v>
      </c>
      <c r="K9" s="58">
        <v>0.15027748289783693</v>
      </c>
      <c r="L9" s="58">
        <v>5.0609624873632963E-2</v>
      </c>
    </row>
    <row r="10" spans="1:12" s="19" customFormat="1" ht="11.1" customHeight="1" x14ac:dyDescent="0.25">
      <c r="A10" s="37" t="s">
        <v>23</v>
      </c>
      <c r="B10" s="38"/>
      <c r="C10" s="36" t="s">
        <v>19</v>
      </c>
      <c r="D10" s="101"/>
      <c r="E10" s="102"/>
      <c r="F10" s="61"/>
      <c r="G10" s="62"/>
      <c r="H10" s="62"/>
      <c r="I10" s="62"/>
      <c r="J10" s="62"/>
      <c r="K10" s="62"/>
      <c r="L10" s="62"/>
    </row>
    <row r="11" spans="1:12" s="19" customFormat="1" ht="11.1" customHeight="1" x14ac:dyDescent="0.25">
      <c r="A11" s="37"/>
      <c r="B11" s="38" t="s">
        <v>24</v>
      </c>
      <c r="C11" s="36"/>
      <c r="D11" s="101">
        <v>4599.2690931745465</v>
      </c>
      <c r="E11" s="102">
        <v>1.2805307168938667</v>
      </c>
      <c r="F11" s="61">
        <v>100</v>
      </c>
      <c r="G11" s="62">
        <v>80.166077212090798</v>
      </c>
      <c r="H11" s="62">
        <v>13.646465172913503</v>
      </c>
      <c r="I11" s="62">
        <v>4.7497117371461473</v>
      </c>
      <c r="J11" s="62">
        <v>1.1281284063553667</v>
      </c>
      <c r="K11" s="62">
        <v>2.5289534354631174E-2</v>
      </c>
      <c r="L11" s="62">
        <v>0.28432793713923105</v>
      </c>
    </row>
    <row r="12" spans="1:12" s="19" customFormat="1" ht="11.1" customHeight="1" x14ac:dyDescent="0.25">
      <c r="A12" s="37"/>
      <c r="B12" s="38" t="s">
        <v>25</v>
      </c>
      <c r="C12" s="36"/>
      <c r="D12" s="101">
        <v>2843.4293570069572</v>
      </c>
      <c r="E12" s="102">
        <v>1.4514635540915584</v>
      </c>
      <c r="F12" s="61">
        <v>100</v>
      </c>
      <c r="G12" s="62">
        <v>69.482187869022752</v>
      </c>
      <c r="H12" s="62">
        <v>18.497941509164534</v>
      </c>
      <c r="I12" s="62">
        <v>9.4939674972701571</v>
      </c>
      <c r="J12" s="62">
        <v>2.443133592718473</v>
      </c>
      <c r="K12" s="62">
        <v>8.2769531823909573E-2</v>
      </c>
      <c r="L12" s="62">
        <v>0</v>
      </c>
    </row>
    <row r="13" spans="1:12" s="19" customFormat="1" ht="11.1" customHeight="1" x14ac:dyDescent="0.25">
      <c r="A13" s="37"/>
      <c r="B13" s="38" t="s">
        <v>26</v>
      </c>
      <c r="C13" s="36"/>
      <c r="D13" s="101">
        <v>2655.230118970449</v>
      </c>
      <c r="E13" s="102">
        <v>1.2090598283132443</v>
      </c>
      <c r="F13" s="61">
        <v>100</v>
      </c>
      <c r="G13" s="62">
        <v>84.68543697149552</v>
      </c>
      <c r="H13" s="62">
        <v>10.84481962265836</v>
      </c>
      <c r="I13" s="62">
        <v>3.4835694729282722</v>
      </c>
      <c r="J13" s="62">
        <v>0.8506714688625151</v>
      </c>
      <c r="K13" s="62">
        <v>0.13550246405555333</v>
      </c>
      <c r="L13" s="62">
        <v>0</v>
      </c>
    </row>
    <row r="14" spans="1:12" s="19" customFormat="1" ht="11.1" customHeight="1" x14ac:dyDescent="0.25">
      <c r="A14" s="37"/>
      <c r="B14" s="38" t="s">
        <v>27</v>
      </c>
      <c r="C14" s="36"/>
      <c r="D14" s="101">
        <v>3084.5769542256307</v>
      </c>
      <c r="E14" s="102">
        <v>1.1305002013048899</v>
      </c>
      <c r="F14" s="61">
        <v>100</v>
      </c>
      <c r="G14" s="62">
        <v>90.551280617002064</v>
      </c>
      <c r="H14" s="62">
        <v>6.1809865409410776</v>
      </c>
      <c r="I14" s="62">
        <v>2.934164936622857</v>
      </c>
      <c r="J14" s="62">
        <v>0.33356790543403592</v>
      </c>
      <c r="K14" s="62">
        <v>0</v>
      </c>
      <c r="L14" s="62">
        <v>0</v>
      </c>
    </row>
    <row r="15" spans="1:12" s="19" customFormat="1" ht="11.1" customHeight="1" x14ac:dyDescent="0.25">
      <c r="A15" s="37"/>
      <c r="B15" s="38" t="s">
        <v>28</v>
      </c>
      <c r="C15" s="36"/>
      <c r="D15" s="101">
        <v>2138.8136259029334</v>
      </c>
      <c r="E15" s="102">
        <v>1.1758994158600642</v>
      </c>
      <c r="F15" s="61">
        <v>100</v>
      </c>
      <c r="G15" s="62">
        <v>86.38521509843757</v>
      </c>
      <c r="H15" s="62">
        <v>10.556997850987033</v>
      </c>
      <c r="I15" s="62">
        <v>2.1404174167072996</v>
      </c>
      <c r="J15" s="62">
        <v>0.91736963386824222</v>
      </c>
      <c r="K15" s="62">
        <v>0</v>
      </c>
      <c r="L15" s="62">
        <v>0</v>
      </c>
    </row>
    <row r="16" spans="1:12" s="19" customFormat="1" ht="11.1" customHeight="1" x14ac:dyDescent="0.25">
      <c r="A16" s="37"/>
      <c r="B16" s="38" t="s">
        <v>29</v>
      </c>
      <c r="C16" s="36"/>
      <c r="D16" s="101">
        <v>3125.0223193393726</v>
      </c>
      <c r="E16" s="102">
        <v>1.2601823097108023</v>
      </c>
      <c r="F16" s="61">
        <v>100</v>
      </c>
      <c r="G16" s="62">
        <v>81.51604485957985</v>
      </c>
      <c r="H16" s="62">
        <v>13.313109245123277</v>
      </c>
      <c r="I16" s="62">
        <v>3.4596896654556932</v>
      </c>
      <c r="J16" s="62">
        <v>1.0588825243197093</v>
      </c>
      <c r="K16" s="62">
        <v>0.65227370552160735</v>
      </c>
      <c r="L16" s="62">
        <v>0</v>
      </c>
    </row>
    <row r="17" spans="1:12" s="19" customFormat="1" ht="11.1" customHeight="1" x14ac:dyDescent="0.25">
      <c r="A17" s="37"/>
      <c r="B17" s="38" t="s">
        <v>30</v>
      </c>
      <c r="C17" s="36"/>
      <c r="D17" s="101">
        <v>488.62264718754921</v>
      </c>
      <c r="E17" s="102">
        <v>1.2628803820726147</v>
      </c>
      <c r="F17" s="61">
        <v>100</v>
      </c>
      <c r="G17" s="62">
        <v>83.25462764365129</v>
      </c>
      <c r="H17" s="62">
        <v>11.15180595965637</v>
      </c>
      <c r="I17" s="62">
        <v>2.6565944602576406</v>
      </c>
      <c r="J17" s="62">
        <v>1.9248444186490554</v>
      </c>
      <c r="K17" s="62">
        <v>1.0121275177857043</v>
      </c>
      <c r="L17" s="62">
        <v>0</v>
      </c>
    </row>
    <row r="18" spans="1:12" s="19" customFormat="1" ht="11.1" customHeight="1" x14ac:dyDescent="0.25">
      <c r="A18" s="37"/>
      <c r="B18" s="38" t="s">
        <v>31</v>
      </c>
      <c r="C18" s="36"/>
      <c r="D18" s="101">
        <v>652.14225563768071</v>
      </c>
      <c r="E18" s="102">
        <v>1.158804272923819</v>
      </c>
      <c r="F18" s="61">
        <v>100</v>
      </c>
      <c r="G18" s="62">
        <v>87.910218179443902</v>
      </c>
      <c r="H18" s="62">
        <v>8.6868464500366311</v>
      </c>
      <c r="I18" s="62">
        <v>3.075462323153999</v>
      </c>
      <c r="J18" s="62">
        <v>0.26723599342422188</v>
      </c>
      <c r="K18" s="62">
        <v>6.0237053941060888E-2</v>
      </c>
      <c r="L18" s="62">
        <v>0</v>
      </c>
    </row>
    <row r="19" spans="1:12" s="19" customFormat="1" ht="11.1" customHeight="1" x14ac:dyDescent="0.25">
      <c r="A19" s="37"/>
      <c r="B19" s="38" t="s">
        <v>32</v>
      </c>
      <c r="C19" s="36"/>
      <c r="D19" s="101">
        <v>577.52162039788959</v>
      </c>
      <c r="E19" s="102">
        <v>1.1828980207431503</v>
      </c>
      <c r="F19" s="61">
        <v>100</v>
      </c>
      <c r="G19" s="62">
        <v>86.602833410422463</v>
      </c>
      <c r="H19" s="62">
        <v>9.875073792676325</v>
      </c>
      <c r="I19" s="62">
        <v>2.5323316641021729</v>
      </c>
      <c r="J19" s="62">
        <v>0.60897957776192368</v>
      </c>
      <c r="K19" s="62">
        <v>0.38078155503721162</v>
      </c>
      <c r="L19" s="62">
        <v>0</v>
      </c>
    </row>
    <row r="20" spans="1:12" s="19" customFormat="1" ht="11.1" customHeight="1" x14ac:dyDescent="0.25">
      <c r="A20" s="37"/>
      <c r="B20" s="38" t="s">
        <v>33</v>
      </c>
      <c r="C20" s="36"/>
      <c r="D20" s="101">
        <v>1308.2402233263022</v>
      </c>
      <c r="E20" s="102">
        <v>1.0759720818946399</v>
      </c>
      <c r="F20" s="61">
        <v>100</v>
      </c>
      <c r="G20" s="62">
        <v>93.564754721996181</v>
      </c>
      <c r="H20" s="62">
        <v>5.5981215622787666</v>
      </c>
      <c r="I20" s="62">
        <v>0.51228451999008717</v>
      </c>
      <c r="J20" s="62">
        <v>0.32483919573506903</v>
      </c>
      <c r="K20" s="62">
        <v>0</v>
      </c>
      <c r="L20" s="62">
        <v>0</v>
      </c>
    </row>
    <row r="21" spans="1:12" s="19" customFormat="1" ht="11.1" customHeight="1" x14ac:dyDescent="0.25">
      <c r="A21" s="37"/>
      <c r="B21" s="38" t="s">
        <v>34</v>
      </c>
      <c r="C21" s="36"/>
      <c r="D21" s="101">
        <v>508.99962914017777</v>
      </c>
      <c r="E21" s="102">
        <v>1.1216225431434144</v>
      </c>
      <c r="F21" s="61">
        <v>100</v>
      </c>
      <c r="G21" s="62">
        <v>89.453661426237332</v>
      </c>
      <c r="H21" s="62">
        <v>9.3005978302030847</v>
      </c>
      <c r="I21" s="62">
        <v>0.87556574653996522</v>
      </c>
      <c r="J21" s="62">
        <v>0.37017499701949402</v>
      </c>
      <c r="K21" s="62">
        <v>0</v>
      </c>
      <c r="L21" s="62">
        <v>0</v>
      </c>
    </row>
    <row r="22" spans="1:12" s="19" customFormat="1" ht="11.1" customHeight="1" x14ac:dyDescent="0.25">
      <c r="A22" s="37"/>
      <c r="B22" s="38" t="s">
        <v>35</v>
      </c>
      <c r="C22" s="36"/>
      <c r="D22" s="101">
        <v>696.44176415866764</v>
      </c>
      <c r="E22" s="102">
        <v>1.1518915748091867</v>
      </c>
      <c r="F22" s="61">
        <v>100</v>
      </c>
      <c r="G22" s="62">
        <v>85.686747597162949</v>
      </c>
      <c r="H22" s="62">
        <v>13.437347324755947</v>
      </c>
      <c r="I22" s="62">
        <v>0.87590507808135643</v>
      </c>
      <c r="J22" s="62">
        <v>0</v>
      </c>
      <c r="K22" s="62">
        <v>0</v>
      </c>
      <c r="L22" s="62">
        <v>0</v>
      </c>
    </row>
    <row r="23" spans="1:12" s="19" customFormat="1" ht="11.1" customHeight="1" x14ac:dyDescent="0.25">
      <c r="A23" s="37"/>
      <c r="B23" s="38" t="s">
        <v>36</v>
      </c>
      <c r="C23" s="36"/>
      <c r="D23" s="101">
        <v>518.9938304308987</v>
      </c>
      <c r="E23" s="102">
        <v>1.115671511236461</v>
      </c>
      <c r="F23" s="61">
        <v>100</v>
      </c>
      <c r="G23" s="62">
        <v>90.312164218206803</v>
      </c>
      <c r="H23" s="62">
        <v>7.8444057560666547</v>
      </c>
      <c r="I23" s="62">
        <v>1.8075447096003194</v>
      </c>
      <c r="J23" s="62">
        <v>3.588531612625654E-2</v>
      </c>
      <c r="K23" s="62">
        <v>0</v>
      </c>
      <c r="L23" s="62">
        <v>0</v>
      </c>
    </row>
    <row r="24" spans="1:12" s="19" customFormat="1" ht="11.1" customHeight="1" x14ac:dyDescent="0.25">
      <c r="A24" s="37"/>
      <c r="B24" s="38" t="s">
        <v>37</v>
      </c>
      <c r="C24" s="36"/>
      <c r="D24" s="101">
        <v>812.41873127822464</v>
      </c>
      <c r="E24" s="102">
        <v>1.0796861061792993</v>
      </c>
      <c r="F24" s="61">
        <v>100</v>
      </c>
      <c r="G24" s="62">
        <v>93.885501584100595</v>
      </c>
      <c r="H24" s="62">
        <v>4.9111270484099929</v>
      </c>
      <c r="I24" s="62">
        <v>0.68431842433437362</v>
      </c>
      <c r="J24" s="62">
        <v>0.38736505176905167</v>
      </c>
      <c r="K24" s="62">
        <v>0.1316878913859911</v>
      </c>
      <c r="L24" s="62">
        <v>0</v>
      </c>
    </row>
    <row r="25" spans="1:12" s="19" customFormat="1" ht="11.1" customHeight="1" x14ac:dyDescent="0.25">
      <c r="A25" s="37"/>
      <c r="B25" s="38" t="s">
        <v>38</v>
      </c>
      <c r="C25" s="36"/>
      <c r="D25" s="101">
        <v>201.74328950818625</v>
      </c>
      <c r="E25" s="102">
        <v>1.1415602866636656</v>
      </c>
      <c r="F25" s="61">
        <v>100</v>
      </c>
      <c r="G25" s="62">
        <v>89.479888368636466</v>
      </c>
      <c r="H25" s="62">
        <v>8.5100533304778256</v>
      </c>
      <c r="I25" s="62">
        <v>1.1631872146170545</v>
      </c>
      <c r="J25" s="62">
        <v>6.7883438421012771E-2</v>
      </c>
      <c r="K25" s="62">
        <v>0.77898764784784824</v>
      </c>
      <c r="L25" s="62">
        <v>0</v>
      </c>
    </row>
    <row r="26" spans="1:12" s="19" customFormat="1" ht="11.1" customHeight="1" x14ac:dyDescent="0.25">
      <c r="A26" s="37"/>
      <c r="B26" s="38" t="s">
        <v>39</v>
      </c>
      <c r="C26" s="36"/>
      <c r="D26" s="101">
        <v>332.62720320349166</v>
      </c>
      <c r="E26" s="102">
        <v>1.1426119864493254</v>
      </c>
      <c r="F26" s="61">
        <v>100</v>
      </c>
      <c r="G26" s="62">
        <v>87.634113274939864</v>
      </c>
      <c r="H26" s="62">
        <v>10.540761007107056</v>
      </c>
      <c r="I26" s="62">
        <v>1.7549395160335564</v>
      </c>
      <c r="J26" s="62">
        <v>7.0186201919450658E-2</v>
      </c>
      <c r="K26" s="62">
        <v>0</v>
      </c>
      <c r="L26" s="62">
        <v>0</v>
      </c>
    </row>
    <row r="27" spans="1:12" s="19" customFormat="1" ht="11.1" customHeight="1" x14ac:dyDescent="0.25">
      <c r="A27" s="37"/>
      <c r="B27" s="38" t="s">
        <v>40</v>
      </c>
      <c r="C27" s="36"/>
      <c r="D27" s="101">
        <v>119.64192102222134</v>
      </c>
      <c r="E27" s="102">
        <v>1.0648892184041507</v>
      </c>
      <c r="F27" s="61">
        <v>100</v>
      </c>
      <c r="G27" s="62">
        <v>94.9033880689406</v>
      </c>
      <c r="H27" s="62">
        <v>4.2066007124963569</v>
      </c>
      <c r="I27" s="62">
        <v>0.45707767234673174</v>
      </c>
      <c r="J27" s="62">
        <v>0.3635684016398561</v>
      </c>
      <c r="K27" s="62">
        <v>6.9365144576426618E-2</v>
      </c>
      <c r="L27" s="62">
        <v>0</v>
      </c>
    </row>
    <row r="28" spans="1:12" s="19" customFormat="1" ht="11.1" customHeight="1" x14ac:dyDescent="0.25">
      <c r="A28" s="37"/>
      <c r="B28" s="38" t="s">
        <v>41</v>
      </c>
      <c r="C28" s="36"/>
      <c r="D28" s="101">
        <v>400.46908408399605</v>
      </c>
      <c r="E28" s="102">
        <v>1.4514704500514242</v>
      </c>
      <c r="F28" s="61">
        <v>100</v>
      </c>
      <c r="G28" s="62">
        <v>70.716530603860193</v>
      </c>
      <c r="H28" s="62">
        <v>17.064324480586368</v>
      </c>
      <c r="I28" s="62">
        <v>8.7760951176619173</v>
      </c>
      <c r="J28" s="62">
        <v>3.241668902332715</v>
      </c>
      <c r="K28" s="62">
        <v>0.20138089555855954</v>
      </c>
      <c r="L28" s="62">
        <v>0</v>
      </c>
    </row>
    <row r="29" spans="1:12" s="19" customFormat="1" ht="11.1" customHeight="1" x14ac:dyDescent="0.25">
      <c r="A29" s="37"/>
      <c r="B29" s="38" t="s">
        <v>42</v>
      </c>
      <c r="C29" s="36"/>
      <c r="D29" s="101">
        <v>505.21698262989457</v>
      </c>
      <c r="E29" s="102">
        <v>1.1941315945644744</v>
      </c>
      <c r="F29" s="61">
        <v>100</v>
      </c>
      <c r="G29" s="62">
        <v>84.825288312660689</v>
      </c>
      <c r="H29" s="62">
        <v>11.83287246376119</v>
      </c>
      <c r="I29" s="62">
        <v>2.4882474973528654</v>
      </c>
      <c r="J29" s="62">
        <v>0.83208331657329115</v>
      </c>
      <c r="K29" s="62">
        <v>0</v>
      </c>
      <c r="L29" s="62">
        <v>2.1508409652098028E-2</v>
      </c>
    </row>
    <row r="30" spans="1:12" s="19" customFormat="1" ht="11.1" customHeight="1" x14ac:dyDescent="0.25">
      <c r="A30" s="37"/>
      <c r="B30" s="38" t="s">
        <v>43</v>
      </c>
      <c r="C30" s="36"/>
      <c r="D30" s="101">
        <v>309.05604515771296</v>
      </c>
      <c r="E30" s="102">
        <v>1.1915840225441892</v>
      </c>
      <c r="F30" s="61">
        <v>100</v>
      </c>
      <c r="G30" s="62">
        <v>84.730262580007903</v>
      </c>
      <c r="H30" s="62">
        <v>12.026713305926011</v>
      </c>
      <c r="I30" s="62">
        <v>2.6529302103450312</v>
      </c>
      <c r="J30" s="62">
        <v>0.53454708708127008</v>
      </c>
      <c r="K30" s="62">
        <v>5.5546816639969583E-2</v>
      </c>
      <c r="L30" s="62">
        <v>0</v>
      </c>
    </row>
    <row r="31" spans="1:12" s="19" customFormat="1" ht="11.1" customHeight="1" x14ac:dyDescent="0.25">
      <c r="A31" s="37"/>
      <c r="B31" s="38" t="s">
        <v>44</v>
      </c>
      <c r="C31" s="36"/>
      <c r="D31" s="101">
        <v>164.06020251490511</v>
      </c>
      <c r="E31" s="102">
        <v>1.1774544159284936</v>
      </c>
      <c r="F31" s="61">
        <v>100</v>
      </c>
      <c r="G31" s="62">
        <v>85.084270188466888</v>
      </c>
      <c r="H31" s="62">
        <v>12.187084141944423</v>
      </c>
      <c r="I31" s="62">
        <v>2.6275795578615555</v>
      </c>
      <c r="J31" s="62">
        <v>0.10106611172729722</v>
      </c>
      <c r="K31" s="62">
        <v>0</v>
      </c>
      <c r="L31" s="62">
        <v>0</v>
      </c>
    </row>
    <row r="32" spans="1:12" s="19" customFormat="1" ht="11.1" customHeight="1" x14ac:dyDescent="0.25">
      <c r="A32" s="37"/>
      <c r="B32" s="38" t="s">
        <v>45</v>
      </c>
      <c r="C32" s="36"/>
      <c r="D32" s="101">
        <v>11.145790093045708</v>
      </c>
      <c r="E32" s="102">
        <v>1.2506158827803358</v>
      </c>
      <c r="F32" s="61">
        <v>100</v>
      </c>
      <c r="G32" s="62">
        <v>87.560106825720126</v>
      </c>
      <c r="H32" s="62">
        <v>7.2584592802967185</v>
      </c>
      <c r="I32" s="62">
        <v>1.4613032890981679</v>
      </c>
      <c r="J32" s="62">
        <v>0</v>
      </c>
      <c r="K32" s="62">
        <v>3.7201306048851324</v>
      </c>
      <c r="L32" s="62">
        <v>0</v>
      </c>
    </row>
    <row r="33" spans="1:12" s="19" customFormat="1" ht="11.1" customHeight="1" x14ac:dyDescent="0.25">
      <c r="A33" s="37" t="s">
        <v>232</v>
      </c>
      <c r="B33" s="38"/>
      <c r="C33" s="36" t="s">
        <v>92</v>
      </c>
      <c r="D33" s="60"/>
      <c r="E33" s="102"/>
      <c r="F33" s="61"/>
      <c r="G33" s="62"/>
      <c r="H33" s="62"/>
      <c r="I33" s="62"/>
      <c r="J33" s="62"/>
      <c r="K33" s="62"/>
      <c r="L33" s="62"/>
    </row>
    <row r="34" spans="1:12" s="19" customFormat="1" ht="11.1" customHeight="1" x14ac:dyDescent="0.25">
      <c r="A34" s="37"/>
      <c r="B34" s="38" t="s">
        <v>233</v>
      </c>
      <c r="C34" s="36"/>
      <c r="D34" s="101">
        <f>SUM(D11:D16)</f>
        <v>18446.341468619888</v>
      </c>
      <c r="E34" s="102">
        <f t="shared" ref="E34:L34" si="0">$D11*E11/$D34+$D12*E12/$D34+$D13*E13/$D34+$D14*E14/$D34+$D15*E15/$D34+$D16*E16/$D34</f>
        <v>1.2559245932801377</v>
      </c>
      <c r="F34" s="61">
        <f t="shared" si="0"/>
        <v>100</v>
      </c>
      <c r="G34" s="62">
        <f t="shared" si="0"/>
        <v>81.856128898967938</v>
      </c>
      <c r="H34" s="62">
        <f t="shared" si="0"/>
        <v>12.327961646901919</v>
      </c>
      <c r="I34" s="62">
        <f t="shared" si="0"/>
        <v>4.4740864153853543</v>
      </c>
      <c r="J34" s="62">
        <f t="shared" si="0"/>
        <v>1.121859448526439</v>
      </c>
      <c r="K34" s="62">
        <f t="shared" si="0"/>
        <v>0.14907144632977612</v>
      </c>
      <c r="L34" s="62">
        <f t="shared" si="0"/>
        <v>7.0892143888539844E-2</v>
      </c>
    </row>
    <row r="35" spans="1:12" s="19" customFormat="1" ht="11.1" customHeight="1" x14ac:dyDescent="0.25">
      <c r="A35" s="37"/>
      <c r="B35" s="38" t="s">
        <v>234</v>
      </c>
      <c r="C35" s="36"/>
      <c r="D35" s="101">
        <f>SUM(D17:D32)</f>
        <v>7607.341219770844</v>
      </c>
      <c r="E35" s="102">
        <f t="shared" ref="E35:L35" si="1">$D9*E9/$D35-$D34*E34/$D35</f>
        <v>1.155539824985492</v>
      </c>
      <c r="F35" s="61">
        <f t="shared" si="1"/>
        <v>100.00000000000546</v>
      </c>
      <c r="G35" s="62">
        <f t="shared" si="1"/>
        <v>88.02495456984613</v>
      </c>
      <c r="H35" s="62">
        <f t="shared" si="1"/>
        <v>9.2844113347270572</v>
      </c>
      <c r="I35" s="62">
        <f t="shared" si="1"/>
        <v>1.9583898354787603</v>
      </c>
      <c r="J35" s="62">
        <f t="shared" si="1"/>
        <v>0.57761395847987984</v>
      </c>
      <c r="K35" s="62">
        <f t="shared" si="1"/>
        <v>0.15320188995615808</v>
      </c>
      <c r="L35" s="62">
        <f t="shared" si="1"/>
        <v>1.4284115187786772E-3</v>
      </c>
    </row>
    <row r="36" spans="1:12" s="19" customFormat="1" ht="11.1" customHeight="1" x14ac:dyDescent="0.25">
      <c r="A36" s="37" t="s">
        <v>46</v>
      </c>
      <c r="B36" s="38"/>
      <c r="C36" s="36" t="s">
        <v>19</v>
      </c>
      <c r="D36" s="101"/>
      <c r="E36" s="102"/>
      <c r="F36" s="61"/>
      <c r="G36" s="62"/>
      <c r="H36" s="62"/>
      <c r="I36" s="62"/>
      <c r="J36" s="62"/>
      <c r="K36" s="62"/>
      <c r="L36" s="62"/>
    </row>
    <row r="37" spans="1:12" s="19" customFormat="1" ht="11.1" customHeight="1" x14ac:dyDescent="0.25">
      <c r="A37" s="37"/>
      <c r="B37" s="38" t="s">
        <v>47</v>
      </c>
      <c r="C37" s="36"/>
      <c r="D37" s="101">
        <v>12952.34492652653</v>
      </c>
      <c r="E37" s="102">
        <v>1.1909645119109884</v>
      </c>
      <c r="F37" s="61">
        <v>100</v>
      </c>
      <c r="G37" s="62">
        <v>86.016373247798498</v>
      </c>
      <c r="H37" s="62">
        <v>9.9780732497832769</v>
      </c>
      <c r="I37" s="62">
        <v>3.1045989160392811</v>
      </c>
      <c r="J37" s="62">
        <v>0.69463823627674648</v>
      </c>
      <c r="K37" s="62">
        <v>0.2063163501016444</v>
      </c>
      <c r="L37" s="62">
        <v>0</v>
      </c>
    </row>
    <row r="38" spans="1:12" s="19" customFormat="1" ht="11.1" customHeight="1" x14ac:dyDescent="0.25">
      <c r="A38" s="37"/>
      <c r="B38" s="38" t="s">
        <v>48</v>
      </c>
      <c r="C38" s="36"/>
      <c r="D38" s="101">
        <v>13101.337761864164</v>
      </c>
      <c r="E38" s="102">
        <v>1.2618571320846206</v>
      </c>
      <c r="F38" s="61">
        <v>100</v>
      </c>
      <c r="G38" s="62">
        <v>81.325148161920708</v>
      </c>
      <c r="H38" s="62">
        <v>12.883877343943887</v>
      </c>
      <c r="I38" s="62">
        <v>4.3672509265135782</v>
      </c>
      <c r="J38" s="62">
        <v>1.2282039590035927</v>
      </c>
      <c r="K38" s="62">
        <v>9.4875908607595746E-2</v>
      </c>
      <c r="L38" s="62">
        <v>0.10064370001010682</v>
      </c>
    </row>
    <row r="39" spans="1:12" s="19" customFormat="1" ht="11.1" customHeight="1" x14ac:dyDescent="0.25">
      <c r="A39" s="37" t="s">
        <v>49</v>
      </c>
      <c r="B39" s="38"/>
      <c r="C39" s="36" t="s">
        <v>19</v>
      </c>
      <c r="D39" s="101"/>
      <c r="E39" s="102"/>
      <c r="F39" s="61"/>
      <c r="G39" s="62"/>
      <c r="H39" s="62"/>
      <c r="I39" s="62"/>
      <c r="J39" s="62"/>
      <c r="K39" s="62"/>
      <c r="L39" s="62"/>
    </row>
    <row r="40" spans="1:12" s="19" customFormat="1" ht="11.1" customHeight="1" x14ac:dyDescent="0.25">
      <c r="A40" s="37"/>
      <c r="B40" s="38" t="s">
        <v>107</v>
      </c>
      <c r="C40" s="36"/>
      <c r="D40" s="101">
        <v>805.83326628482916</v>
      </c>
      <c r="E40" s="102">
        <v>1.5544138031583234</v>
      </c>
      <c r="F40" s="61">
        <v>100</v>
      </c>
      <c r="G40" s="62">
        <v>59.297380692350927</v>
      </c>
      <c r="H40" s="62">
        <v>28.078941658287782</v>
      </c>
      <c r="I40" s="62">
        <v>10.722622566083432</v>
      </c>
      <c r="J40" s="62">
        <v>1.6870268077341135</v>
      </c>
      <c r="K40" s="62">
        <v>0.21402827554370638</v>
      </c>
      <c r="L40" s="62">
        <v>0</v>
      </c>
    </row>
    <row r="41" spans="1:12" s="19" customFormat="1" ht="11.1" customHeight="1" x14ac:dyDescent="0.25">
      <c r="A41" s="37"/>
      <c r="B41" s="38" t="s">
        <v>108</v>
      </c>
      <c r="C41" s="36"/>
      <c r="D41" s="101">
        <v>455.60655500203745</v>
      </c>
      <c r="E41" s="102">
        <v>1.378181639280089</v>
      </c>
      <c r="F41" s="61">
        <v>100</v>
      </c>
      <c r="G41" s="62">
        <v>75.609722310250518</v>
      </c>
      <c r="H41" s="62">
        <v>14.050743876412669</v>
      </c>
      <c r="I41" s="62">
        <v>7.2511813884140945</v>
      </c>
      <c r="J41" s="62">
        <v>3.0883524249227614</v>
      </c>
      <c r="K41" s="62">
        <v>0</v>
      </c>
      <c r="L41" s="62">
        <v>0</v>
      </c>
    </row>
    <row r="42" spans="1:12" s="19" customFormat="1" ht="11.1" customHeight="1" x14ac:dyDescent="0.25">
      <c r="A42" s="37"/>
      <c r="B42" s="38" t="s">
        <v>109</v>
      </c>
      <c r="C42" s="36"/>
      <c r="D42" s="101">
        <v>3652.6169779652787</v>
      </c>
      <c r="E42" s="102">
        <v>1.2645412490680095</v>
      </c>
      <c r="F42" s="61">
        <v>100</v>
      </c>
      <c r="G42" s="62">
        <v>82.525357751729544</v>
      </c>
      <c r="H42" s="62">
        <v>10.598248855960099</v>
      </c>
      <c r="I42" s="62">
        <v>5.4638712449356506</v>
      </c>
      <c r="J42" s="62">
        <v>0.72195502852761195</v>
      </c>
      <c r="K42" s="62">
        <v>0.6905671188469148</v>
      </c>
      <c r="L42" s="62">
        <v>0</v>
      </c>
    </row>
    <row r="43" spans="1:12" s="19" customFormat="1" ht="11.1" customHeight="1" x14ac:dyDescent="0.25">
      <c r="A43" s="37"/>
      <c r="B43" s="38" t="s">
        <v>110</v>
      </c>
      <c r="C43" s="36"/>
      <c r="D43" s="101">
        <v>4538.9774809830633</v>
      </c>
      <c r="E43" s="102">
        <v>1.1836550629467539</v>
      </c>
      <c r="F43" s="61">
        <v>100</v>
      </c>
      <c r="G43" s="62">
        <v>86.645218942824258</v>
      </c>
      <c r="H43" s="62">
        <v>9.4539761576519474</v>
      </c>
      <c r="I43" s="62">
        <v>2.8224427516598523</v>
      </c>
      <c r="J43" s="62">
        <v>1.0491979801657938</v>
      </c>
      <c r="K43" s="62">
        <v>2.6770145284225885E-2</v>
      </c>
      <c r="L43" s="62">
        <v>2.3940224138867482E-3</v>
      </c>
    </row>
    <row r="44" spans="1:12" s="19" customFormat="1" ht="11.1" customHeight="1" x14ac:dyDescent="0.25">
      <c r="A44" s="37"/>
      <c r="B44" s="38" t="s">
        <v>111</v>
      </c>
      <c r="C44" s="36"/>
      <c r="D44" s="101">
        <v>5504.1238743651993</v>
      </c>
      <c r="E44" s="102">
        <v>1.1936859556700956</v>
      </c>
      <c r="F44" s="61">
        <v>100</v>
      </c>
      <c r="G44" s="62">
        <v>85.067274269320578</v>
      </c>
      <c r="H44" s="62">
        <v>10.996100491884572</v>
      </c>
      <c r="I44" s="62">
        <v>3.555081032832192</v>
      </c>
      <c r="J44" s="62">
        <v>0.26384381438992843</v>
      </c>
      <c r="K44" s="62">
        <v>0.11770039157274</v>
      </c>
      <c r="L44" s="62">
        <v>0</v>
      </c>
    </row>
    <row r="45" spans="1:12" s="19" customFormat="1" ht="11.1" customHeight="1" x14ac:dyDescent="0.25">
      <c r="A45" s="37"/>
      <c r="B45" s="38" t="s">
        <v>112</v>
      </c>
      <c r="C45" s="36"/>
      <c r="D45" s="101">
        <v>4731.8354863738859</v>
      </c>
      <c r="E45" s="102">
        <v>1.1987745284851472</v>
      </c>
      <c r="F45" s="61">
        <v>100</v>
      </c>
      <c r="G45" s="62">
        <v>85.601829814547727</v>
      </c>
      <c r="H45" s="62">
        <v>10.086442905960945</v>
      </c>
      <c r="I45" s="62">
        <v>3.1717916103856121</v>
      </c>
      <c r="J45" s="62">
        <v>1.1123159546369772</v>
      </c>
      <c r="K45" s="62">
        <v>2.7619714467754738E-2</v>
      </c>
      <c r="L45" s="62">
        <v>0</v>
      </c>
    </row>
    <row r="46" spans="1:12" s="19" customFormat="1" ht="11.1" customHeight="1" x14ac:dyDescent="0.25">
      <c r="A46" s="37"/>
      <c r="B46" s="38" t="s">
        <v>113</v>
      </c>
      <c r="C46" s="36"/>
      <c r="D46" s="101">
        <v>2115.8018574368152</v>
      </c>
      <c r="E46" s="102">
        <v>1.2021502907029329</v>
      </c>
      <c r="F46" s="61">
        <v>100</v>
      </c>
      <c r="G46" s="62">
        <v>86.392707669146773</v>
      </c>
      <c r="H46" s="62">
        <v>10.105912905716062</v>
      </c>
      <c r="I46" s="62">
        <v>1.738394004374771</v>
      </c>
      <c r="J46" s="62">
        <v>1.0376774016914152</v>
      </c>
      <c r="K46" s="62">
        <v>0.10724414460514275</v>
      </c>
      <c r="L46" s="62">
        <v>0.61806387446637012</v>
      </c>
    </row>
    <row r="47" spans="1:12" s="19" customFormat="1" ht="11.1" customHeight="1" x14ac:dyDescent="0.25">
      <c r="A47" s="37"/>
      <c r="B47" s="38" t="s">
        <v>114</v>
      </c>
      <c r="C47" s="36"/>
      <c r="D47" s="101">
        <v>4248.8871899796668</v>
      </c>
      <c r="E47" s="102">
        <v>1.2473179257148217</v>
      </c>
      <c r="F47" s="61">
        <v>100</v>
      </c>
      <c r="G47" s="62">
        <v>81.567526887153818</v>
      </c>
      <c r="H47" s="62">
        <v>13.591980847496693</v>
      </c>
      <c r="I47" s="62">
        <v>3.4036679250626847</v>
      </c>
      <c r="J47" s="62">
        <v>1.4148214872836737</v>
      </c>
      <c r="K47" s="62">
        <v>2.200285300234155E-2</v>
      </c>
      <c r="L47" s="62">
        <v>0</v>
      </c>
    </row>
    <row r="48" spans="1:12" s="19" customFormat="1" ht="11.1" customHeight="1" x14ac:dyDescent="0.25">
      <c r="A48" s="37" t="s">
        <v>50</v>
      </c>
      <c r="B48" s="38"/>
      <c r="C48" s="36" t="s">
        <v>19</v>
      </c>
      <c r="D48" s="101"/>
      <c r="E48" s="102"/>
      <c r="F48" s="61"/>
      <c r="G48" s="62"/>
      <c r="H48" s="62"/>
      <c r="I48" s="62"/>
      <c r="J48" s="62"/>
      <c r="K48" s="62"/>
      <c r="L48" s="62"/>
    </row>
    <row r="49" spans="1:12" s="19" customFormat="1" ht="11.1" customHeight="1" x14ac:dyDescent="0.25">
      <c r="A49" s="37"/>
      <c r="B49" s="38" t="s">
        <v>3</v>
      </c>
      <c r="C49" s="36"/>
      <c r="D49" s="101">
        <v>1575.0149159381763</v>
      </c>
      <c r="E49" s="102">
        <v>1.1432154583503924</v>
      </c>
      <c r="F49" s="61">
        <v>100</v>
      </c>
      <c r="G49" s="62">
        <v>87.6383469915109</v>
      </c>
      <c r="H49" s="62">
        <v>10.484550261845929</v>
      </c>
      <c r="I49" s="62">
        <v>1.794312666736555</v>
      </c>
      <c r="J49" s="62">
        <v>8.2790079906750594E-2</v>
      </c>
      <c r="K49" s="62">
        <v>0</v>
      </c>
      <c r="L49" s="62">
        <v>0</v>
      </c>
    </row>
    <row r="50" spans="1:12" s="19" customFormat="1" ht="11.1" customHeight="1" x14ac:dyDescent="0.25">
      <c r="A50" s="37"/>
      <c r="B50" s="38" t="s">
        <v>115</v>
      </c>
      <c r="C50" s="36"/>
      <c r="D50" s="101">
        <v>1946.0664132302941</v>
      </c>
      <c r="E50" s="102">
        <v>1.1391398921444758</v>
      </c>
      <c r="F50" s="61">
        <v>100</v>
      </c>
      <c r="G50" s="62">
        <v>88.887045969668392</v>
      </c>
      <c r="H50" s="62">
        <v>8.6045523759913536</v>
      </c>
      <c r="I50" s="62">
        <v>2.215768124564204</v>
      </c>
      <c r="J50" s="62">
        <v>0.29263352977612256</v>
      </c>
      <c r="K50" s="62">
        <v>0</v>
      </c>
      <c r="L50" s="62">
        <v>0</v>
      </c>
    </row>
    <row r="51" spans="1:12" s="19" customFormat="1" ht="11.1" customHeight="1" x14ac:dyDescent="0.25">
      <c r="A51" s="37"/>
      <c r="B51" s="38" t="s">
        <v>116</v>
      </c>
      <c r="C51" s="36"/>
      <c r="D51" s="101">
        <v>7078.3814548820319</v>
      </c>
      <c r="E51" s="102">
        <v>1.2042328951925552</v>
      </c>
      <c r="F51" s="61">
        <v>100</v>
      </c>
      <c r="G51" s="62">
        <v>85.126369122856431</v>
      </c>
      <c r="H51" s="62">
        <v>10.484182267440708</v>
      </c>
      <c r="I51" s="62">
        <v>3.2878930191094624</v>
      </c>
      <c r="J51" s="62">
        <v>1.0429011487780817</v>
      </c>
      <c r="K51" s="62">
        <v>5.8654441815641306E-2</v>
      </c>
      <c r="L51" s="62">
        <v>0</v>
      </c>
    </row>
    <row r="52" spans="1:12" s="19" customFormat="1" ht="11.1" customHeight="1" x14ac:dyDescent="0.25">
      <c r="A52" s="37"/>
      <c r="B52" s="38" t="s">
        <v>51</v>
      </c>
      <c r="C52" s="36"/>
      <c r="D52" s="101">
        <v>2886.6803105859635</v>
      </c>
      <c r="E52" s="102">
        <v>1.2029581472184228</v>
      </c>
      <c r="F52" s="61">
        <v>100</v>
      </c>
      <c r="G52" s="62">
        <v>85.098661046271133</v>
      </c>
      <c r="H52" s="62">
        <v>10.795595564416308</v>
      </c>
      <c r="I52" s="62">
        <v>3.0542422043932698</v>
      </c>
      <c r="J52" s="62">
        <v>0.81426999103848952</v>
      </c>
      <c r="K52" s="62">
        <v>0.23723119388095862</v>
      </c>
      <c r="L52" s="62">
        <v>0</v>
      </c>
    </row>
    <row r="53" spans="1:12" s="19" customFormat="1" ht="11.1" customHeight="1" x14ac:dyDescent="0.25">
      <c r="A53" s="37"/>
      <c r="B53" s="38" t="s">
        <v>52</v>
      </c>
      <c r="C53" s="36"/>
      <c r="D53" s="101">
        <v>9515.6769203641361</v>
      </c>
      <c r="E53" s="102">
        <v>1.2532863724284509</v>
      </c>
      <c r="F53" s="61">
        <v>100</v>
      </c>
      <c r="G53" s="62">
        <v>82.521197212469019</v>
      </c>
      <c r="H53" s="62">
        <v>11.666868223698412</v>
      </c>
      <c r="I53" s="62">
        <v>4.3195137280237486</v>
      </c>
      <c r="J53" s="62">
        <v>1.085509652761685</v>
      </c>
      <c r="K53" s="62">
        <v>0.26834331042280885</v>
      </c>
      <c r="L53" s="62">
        <v>0.138567872624419</v>
      </c>
    </row>
    <row r="54" spans="1:12" s="19" customFormat="1" ht="11.1" customHeight="1" x14ac:dyDescent="0.25">
      <c r="A54" s="37"/>
      <c r="B54" s="38" t="s">
        <v>4</v>
      </c>
      <c r="C54" s="36"/>
      <c r="D54" s="101">
        <v>3023.5309191682545</v>
      </c>
      <c r="E54" s="102">
        <v>1.3187150587757319</v>
      </c>
      <c r="F54" s="61">
        <v>100</v>
      </c>
      <c r="G54" s="62">
        <v>76.905093668817671</v>
      </c>
      <c r="H54" s="62">
        <v>15.922434437372518</v>
      </c>
      <c r="I54" s="62">
        <v>5.6549398429538043</v>
      </c>
      <c r="J54" s="62">
        <v>1.430936449131353</v>
      </c>
      <c r="K54" s="62">
        <v>8.6595601724724719E-2</v>
      </c>
      <c r="L54" s="62">
        <v>0</v>
      </c>
    </row>
    <row r="55" spans="1:12" s="19" customFormat="1" ht="11.1" customHeight="1" x14ac:dyDescent="0.25">
      <c r="A55" s="37"/>
      <c r="B55" s="38" t="s">
        <v>117</v>
      </c>
      <c r="C55" s="36"/>
      <c r="D55" s="101">
        <v>28.331754221888225</v>
      </c>
      <c r="E55" s="102">
        <v>1.0856020987842376</v>
      </c>
      <c r="F55" s="61">
        <v>100</v>
      </c>
      <c r="G55" s="62">
        <v>91.439790121576223</v>
      </c>
      <c r="H55" s="62">
        <v>8.5602098784237644</v>
      </c>
      <c r="I55" s="62">
        <v>0</v>
      </c>
      <c r="J55" s="62">
        <v>0</v>
      </c>
      <c r="K55" s="62">
        <v>0</v>
      </c>
      <c r="L55" s="62">
        <v>0</v>
      </c>
    </row>
    <row r="56" spans="1:12" s="85" customFormat="1" ht="6" customHeight="1" x14ac:dyDescent="0.25">
      <c r="A56" s="39"/>
      <c r="B56" s="40"/>
      <c r="C56" s="82"/>
      <c r="D56" s="103"/>
      <c r="E56" s="104"/>
      <c r="F56" s="83"/>
      <c r="G56" s="84"/>
      <c r="H56" s="84"/>
      <c r="I56" s="84"/>
      <c r="J56" s="84"/>
      <c r="K56" s="84"/>
      <c r="L56" s="84"/>
    </row>
    <row r="57" spans="1:12" s="19" customFormat="1" ht="11.1" customHeight="1" x14ac:dyDescent="0.25">
      <c r="A57" s="37" t="s">
        <v>53</v>
      </c>
      <c r="B57" s="38"/>
      <c r="C57" s="36" t="s">
        <v>19</v>
      </c>
      <c r="D57" s="101"/>
      <c r="E57" s="102"/>
      <c r="F57" s="61"/>
      <c r="G57" s="62"/>
      <c r="H57" s="62"/>
      <c r="I57" s="62"/>
      <c r="J57" s="62"/>
      <c r="K57" s="62"/>
      <c r="L57" s="62"/>
    </row>
    <row r="58" spans="1:12" s="19" customFormat="1" ht="11.1" customHeight="1" x14ac:dyDescent="0.25">
      <c r="A58" s="37"/>
      <c r="B58" s="38" t="s">
        <v>54</v>
      </c>
      <c r="C58" s="36"/>
      <c r="D58" s="101">
        <v>649.88501474200791</v>
      </c>
      <c r="E58" s="102">
        <v>1.108279921047193</v>
      </c>
      <c r="F58" s="61">
        <v>100</v>
      </c>
      <c r="G58" s="62">
        <v>90.707061111269553</v>
      </c>
      <c r="H58" s="62">
        <v>8.1890389420220018</v>
      </c>
      <c r="I58" s="62">
        <v>0.67274667742842553</v>
      </c>
      <c r="J58" s="62">
        <v>0.43115326928015857</v>
      </c>
      <c r="K58" s="62">
        <v>0</v>
      </c>
      <c r="L58" s="62">
        <v>0</v>
      </c>
    </row>
    <row r="59" spans="1:12" s="19" customFormat="1" ht="11.1" customHeight="1" x14ac:dyDescent="0.25">
      <c r="A59" s="37"/>
      <c r="B59" s="38" t="s">
        <v>55</v>
      </c>
      <c r="C59" s="36"/>
      <c r="D59" s="101">
        <v>5829.6002944234542</v>
      </c>
      <c r="E59" s="102">
        <v>1.156308020862197</v>
      </c>
      <c r="F59" s="61">
        <v>100</v>
      </c>
      <c r="G59" s="62">
        <v>88.404514605966114</v>
      </c>
      <c r="H59" s="62">
        <v>8.1689402050067361</v>
      </c>
      <c r="I59" s="62">
        <v>2.8283248303543256</v>
      </c>
      <c r="J59" s="62">
        <v>0.587669214188135</v>
      </c>
      <c r="K59" s="62">
        <v>1.0551144484935389E-2</v>
      </c>
      <c r="L59" s="62">
        <v>0</v>
      </c>
    </row>
    <row r="60" spans="1:12" s="19" customFormat="1" ht="11.1" customHeight="1" x14ac:dyDescent="0.25">
      <c r="A60" s="37"/>
      <c r="B60" s="38" t="s">
        <v>211</v>
      </c>
      <c r="C60" s="36"/>
      <c r="D60" s="101">
        <v>1204.3556905931725</v>
      </c>
      <c r="E60" s="102">
        <v>1.1725075428220126</v>
      </c>
      <c r="F60" s="61">
        <v>100</v>
      </c>
      <c r="G60" s="62">
        <v>85.923657911890146</v>
      </c>
      <c r="H60" s="62">
        <v>11.092801507142596</v>
      </c>
      <c r="I60" s="62">
        <v>2.8799135660183466</v>
      </c>
      <c r="J60" s="62">
        <v>1.6382416773929515E-2</v>
      </c>
      <c r="K60" s="62">
        <v>8.7244598175022878E-2</v>
      </c>
      <c r="L60" s="62">
        <v>0</v>
      </c>
    </row>
    <row r="61" spans="1:12" s="19" customFormat="1" ht="11.1" customHeight="1" x14ac:dyDescent="0.25">
      <c r="A61" s="37"/>
      <c r="B61" s="38" t="s">
        <v>212</v>
      </c>
      <c r="C61" s="36"/>
      <c r="D61" s="101">
        <v>765.50056506979695</v>
      </c>
      <c r="E61" s="102">
        <v>1.2009899071096553</v>
      </c>
      <c r="F61" s="61">
        <v>100</v>
      </c>
      <c r="G61" s="62">
        <v>84.318863139310821</v>
      </c>
      <c r="H61" s="62">
        <v>12.068767071902016</v>
      </c>
      <c r="I61" s="62">
        <v>2.806885727298249</v>
      </c>
      <c r="J61" s="62">
        <v>0.80548406148900342</v>
      </c>
      <c r="K61" s="62">
        <v>0</v>
      </c>
      <c r="L61" s="62">
        <v>0</v>
      </c>
    </row>
    <row r="62" spans="1:12" s="19" customFormat="1" ht="11.1" customHeight="1" x14ac:dyDescent="0.25">
      <c r="A62" s="37"/>
      <c r="B62" s="38" t="s">
        <v>56</v>
      </c>
      <c r="C62" s="36"/>
      <c r="D62" s="101">
        <v>8161.7890199409703</v>
      </c>
      <c r="E62" s="102">
        <v>1.2328085582793775</v>
      </c>
      <c r="F62" s="61">
        <v>100</v>
      </c>
      <c r="G62" s="62">
        <v>83.568793542452894</v>
      </c>
      <c r="H62" s="62">
        <v>10.84188668636437</v>
      </c>
      <c r="I62" s="62">
        <v>4.7271393677681468</v>
      </c>
      <c r="J62" s="62">
        <v>0.62558489446644328</v>
      </c>
      <c r="K62" s="62">
        <v>7.5041822101163433E-2</v>
      </c>
      <c r="L62" s="62">
        <v>0.16155368684667099</v>
      </c>
    </row>
    <row r="63" spans="1:12" s="19" customFormat="1" ht="11.1" customHeight="1" x14ac:dyDescent="0.25">
      <c r="A63" s="37"/>
      <c r="B63" s="38" t="s">
        <v>57</v>
      </c>
      <c r="C63" s="36"/>
      <c r="D63" s="101">
        <v>1515.3333885176341</v>
      </c>
      <c r="E63" s="102">
        <v>1.2507520055891312</v>
      </c>
      <c r="F63" s="61">
        <v>100</v>
      </c>
      <c r="G63" s="62">
        <v>83.219054061557912</v>
      </c>
      <c r="H63" s="62">
        <v>11.370943498029247</v>
      </c>
      <c r="I63" s="62">
        <v>2.6982359836307275</v>
      </c>
      <c r="J63" s="62">
        <v>2.5392807335054726</v>
      </c>
      <c r="K63" s="62">
        <v>0.17248572327649322</v>
      </c>
      <c r="L63" s="62">
        <v>0</v>
      </c>
    </row>
    <row r="64" spans="1:12" s="19" customFormat="1" ht="11.1" customHeight="1" x14ac:dyDescent="0.25">
      <c r="A64" s="37"/>
      <c r="B64" s="38" t="s">
        <v>204</v>
      </c>
      <c r="C64" s="36"/>
      <c r="D64" s="101">
        <v>67.275496360740021</v>
      </c>
      <c r="E64" s="102">
        <v>1.2552518268222379</v>
      </c>
      <c r="F64" s="61">
        <v>100</v>
      </c>
      <c r="G64" s="62">
        <v>82.035804453186884</v>
      </c>
      <c r="H64" s="62">
        <v>11.207609967171011</v>
      </c>
      <c r="I64" s="62">
        <v>5.9521840238736665</v>
      </c>
      <c r="J64" s="62">
        <v>0.80440155576847738</v>
      </c>
      <c r="K64" s="62">
        <v>0</v>
      </c>
      <c r="L64" s="62">
        <v>0</v>
      </c>
    </row>
    <row r="65" spans="1:12" s="19" customFormat="1" ht="11.1" customHeight="1" x14ac:dyDescent="0.25">
      <c r="A65" s="37"/>
      <c r="B65" s="38" t="s">
        <v>58</v>
      </c>
      <c r="C65" s="36"/>
      <c r="D65" s="101">
        <v>2242.9420750536374</v>
      </c>
      <c r="E65" s="102">
        <v>1.238092214167118</v>
      </c>
      <c r="F65" s="61">
        <v>100</v>
      </c>
      <c r="G65" s="62">
        <v>82.467689418660058</v>
      </c>
      <c r="H65" s="62">
        <v>13.239904234940406</v>
      </c>
      <c r="I65" s="62">
        <v>2.5416310033558163</v>
      </c>
      <c r="J65" s="62">
        <v>1.5170461971179487</v>
      </c>
      <c r="K65" s="62">
        <v>0.23372914592656149</v>
      </c>
      <c r="L65" s="62">
        <v>0</v>
      </c>
    </row>
    <row r="66" spans="1:12" s="19" customFormat="1" ht="11.1" customHeight="1" x14ac:dyDescent="0.25">
      <c r="A66" s="37"/>
      <c r="B66" s="38" t="s">
        <v>59</v>
      </c>
      <c r="C66" s="36"/>
      <c r="D66" s="101">
        <v>3366.8097683979381</v>
      </c>
      <c r="E66" s="102">
        <v>1.2400653155020631</v>
      </c>
      <c r="F66" s="61">
        <v>100</v>
      </c>
      <c r="G66" s="62">
        <v>81.767947419189468</v>
      </c>
      <c r="H66" s="62">
        <v>14.012767781229678</v>
      </c>
      <c r="I66" s="62">
        <v>2.6939365155885344</v>
      </c>
      <c r="J66" s="62">
        <v>1.4955023981687061</v>
      </c>
      <c r="K66" s="62">
        <v>2.9845885823402023E-2</v>
      </c>
      <c r="L66" s="62">
        <v>0</v>
      </c>
    </row>
    <row r="67" spans="1:12" s="19" customFormat="1" ht="11.1" customHeight="1" x14ac:dyDescent="0.25">
      <c r="A67" s="37"/>
      <c r="B67" s="38" t="s">
        <v>61</v>
      </c>
      <c r="C67" s="36"/>
      <c r="D67" s="101">
        <v>1496.4431204799587</v>
      </c>
      <c r="E67" s="102">
        <v>1.539213666827181</v>
      </c>
      <c r="F67" s="61">
        <v>100</v>
      </c>
      <c r="G67" s="62">
        <v>64.326538557613716</v>
      </c>
      <c r="H67" s="62">
        <v>22.417809018365517</v>
      </c>
      <c r="I67" s="62">
        <v>9.7407968854087699</v>
      </c>
      <c r="J67" s="62">
        <v>2.0374582609100891</v>
      </c>
      <c r="K67" s="62">
        <v>1.4773972777012905</v>
      </c>
      <c r="L67" s="62">
        <v>0</v>
      </c>
    </row>
    <row r="68" spans="1:12" s="19" customFormat="1" ht="11.1" customHeight="1" x14ac:dyDescent="0.25">
      <c r="A68" s="37"/>
      <c r="B68" s="38" t="s">
        <v>60</v>
      </c>
      <c r="C68" s="36"/>
      <c r="D68" s="101">
        <v>706.20352131760762</v>
      </c>
      <c r="E68" s="102">
        <v>1.1527182825968356</v>
      </c>
      <c r="F68" s="61">
        <v>100</v>
      </c>
      <c r="G68" s="62">
        <v>89.101726667704938</v>
      </c>
      <c r="H68" s="62">
        <v>6.9919282311036195</v>
      </c>
      <c r="I68" s="62">
        <v>3.4947610642241567</v>
      </c>
      <c r="J68" s="62">
        <v>0.35595824773760992</v>
      </c>
      <c r="K68" s="62">
        <v>5.5625789229709767E-2</v>
      </c>
      <c r="L68" s="62">
        <v>0</v>
      </c>
    </row>
    <row r="69" spans="1:12" s="19" customFormat="1" ht="11.1" customHeight="1" x14ac:dyDescent="0.25">
      <c r="A69" s="37"/>
      <c r="B69" s="38" t="s">
        <v>117</v>
      </c>
      <c r="C69" s="36"/>
      <c r="D69" s="101">
        <v>47.544733493778928</v>
      </c>
      <c r="E69" s="102">
        <v>1.138866468789254</v>
      </c>
      <c r="F69" s="61">
        <v>100</v>
      </c>
      <c r="G69" s="62">
        <v>86.113353121074582</v>
      </c>
      <c r="H69" s="62">
        <v>13.886646878925406</v>
      </c>
      <c r="I69" s="62">
        <v>0</v>
      </c>
      <c r="J69" s="62">
        <v>0</v>
      </c>
      <c r="K69" s="62">
        <v>0</v>
      </c>
      <c r="L69" s="62">
        <v>0</v>
      </c>
    </row>
    <row r="70" spans="1:12" s="19" customFormat="1" ht="11.1" customHeight="1" x14ac:dyDescent="0.25">
      <c r="A70" s="37" t="s">
        <v>91</v>
      </c>
      <c r="B70" s="38"/>
      <c r="C70" s="36" t="s">
        <v>19</v>
      </c>
      <c r="D70" s="101"/>
      <c r="E70" s="102"/>
      <c r="F70" s="61"/>
      <c r="G70" s="62"/>
      <c r="H70" s="62"/>
      <c r="I70" s="62"/>
      <c r="J70" s="62"/>
      <c r="K70" s="62"/>
      <c r="L70" s="62"/>
    </row>
    <row r="71" spans="1:12" s="19" customFormat="1" ht="11.1" customHeight="1" x14ac:dyDescent="0.25">
      <c r="A71" s="37"/>
      <c r="B71" s="86" t="s">
        <v>106</v>
      </c>
      <c r="C71" s="36"/>
      <c r="D71" s="101">
        <v>4349.5550711326141</v>
      </c>
      <c r="E71" s="102">
        <v>2.0235863397180132</v>
      </c>
      <c r="F71" s="61">
        <v>100</v>
      </c>
      <c r="G71" s="62">
        <v>34.187776035425571</v>
      </c>
      <c r="H71" s="62">
        <v>37.71409836020166</v>
      </c>
      <c r="I71" s="62">
        <v>21.156297830378772</v>
      </c>
      <c r="J71" s="62">
        <v>5.7385210273331939</v>
      </c>
      <c r="K71" s="62">
        <v>0.90015686446081511</v>
      </c>
      <c r="L71" s="62">
        <v>0.30314988219997163</v>
      </c>
    </row>
    <row r="72" spans="1:12" s="19" customFormat="1" ht="11.1" customHeight="1" x14ac:dyDescent="0.25">
      <c r="A72" s="37"/>
      <c r="B72" s="87" t="s">
        <v>64</v>
      </c>
      <c r="C72" s="36"/>
      <c r="D72" s="101">
        <v>1749.8154685698757</v>
      </c>
      <c r="E72" s="102">
        <v>2.244587959622816</v>
      </c>
      <c r="F72" s="61">
        <v>100</v>
      </c>
      <c r="G72" s="62">
        <v>22.790838225239813</v>
      </c>
      <c r="H72" s="62">
        <v>41.50938333159705</v>
      </c>
      <c r="I72" s="62">
        <v>26.47673235429825</v>
      </c>
      <c r="J72" s="62">
        <v>7.6435727766024328</v>
      </c>
      <c r="K72" s="62">
        <v>0.83213696903109402</v>
      </c>
      <c r="L72" s="62">
        <v>0.74733634323128051</v>
      </c>
    </row>
    <row r="73" spans="1:12" s="19" customFormat="1" ht="11.1" customHeight="1" x14ac:dyDescent="0.25">
      <c r="A73" s="37"/>
      <c r="B73" s="87" t="s">
        <v>66</v>
      </c>
      <c r="C73" s="36"/>
      <c r="D73" s="101">
        <v>250.39328684236452</v>
      </c>
      <c r="E73" s="102">
        <v>3.2272104336242964</v>
      </c>
      <c r="F73" s="61">
        <v>100</v>
      </c>
      <c r="G73" s="62">
        <v>1.3151518447771897</v>
      </c>
      <c r="H73" s="62">
        <v>20.348502487566968</v>
      </c>
      <c r="I73" s="62">
        <v>51.605258398093397</v>
      </c>
      <c r="J73" s="62">
        <v>13.028309260031389</v>
      </c>
      <c r="K73" s="62">
        <v>8.4367937490733755</v>
      </c>
      <c r="L73" s="62">
        <v>5.2659842604576186</v>
      </c>
    </row>
    <row r="74" spans="1:12" s="19" customFormat="1" ht="11.1" customHeight="1" x14ac:dyDescent="0.25">
      <c r="A74" s="37"/>
      <c r="B74" s="87" t="s">
        <v>65</v>
      </c>
      <c r="C74" s="36"/>
      <c r="D74" s="101">
        <v>637.95707270795447</v>
      </c>
      <c r="E74" s="102">
        <v>2.869480674579949</v>
      </c>
      <c r="F74" s="61">
        <v>100</v>
      </c>
      <c r="G74" s="62">
        <v>5.3123854178431493</v>
      </c>
      <c r="H74" s="62">
        <v>32.021821078732714</v>
      </c>
      <c r="I74" s="62">
        <v>41.769419917792419</v>
      </c>
      <c r="J74" s="62">
        <v>14.264946469824324</v>
      </c>
      <c r="K74" s="62">
        <v>4.5645684448326236</v>
      </c>
      <c r="L74" s="62">
        <v>2.0668586709748071</v>
      </c>
    </row>
    <row r="75" spans="1:12" s="19" customFormat="1" ht="11.1" customHeight="1" x14ac:dyDescent="0.25">
      <c r="A75" s="37"/>
      <c r="B75" s="87" t="s">
        <v>223</v>
      </c>
      <c r="C75" s="36"/>
      <c r="D75" s="101">
        <v>2265.8461282122003</v>
      </c>
      <c r="E75" s="102">
        <v>2.0319253711304626</v>
      </c>
      <c r="F75" s="61">
        <v>100</v>
      </c>
      <c r="G75" s="62">
        <v>34.734855053470135</v>
      </c>
      <c r="H75" s="62">
        <v>36.140922024758659</v>
      </c>
      <c r="I75" s="62">
        <v>22.238412416160983</v>
      </c>
      <c r="J75" s="62">
        <v>5.5503832096647026</v>
      </c>
      <c r="K75" s="62">
        <v>0.75349585275581965</v>
      </c>
      <c r="L75" s="62">
        <v>0.5819314431896212</v>
      </c>
    </row>
    <row r="76" spans="1:12" s="19" customFormat="1" ht="11.1" customHeight="1" x14ac:dyDescent="0.25">
      <c r="A76" s="37"/>
      <c r="B76" s="87" t="s">
        <v>224</v>
      </c>
      <c r="C76" s="36"/>
      <c r="D76" s="101">
        <v>1105.6944673083067</v>
      </c>
      <c r="E76" s="102">
        <v>2.4531456838663073</v>
      </c>
      <c r="F76" s="61">
        <v>100</v>
      </c>
      <c r="G76" s="62">
        <v>23.868069394876112</v>
      </c>
      <c r="H76" s="62">
        <v>27.768104371235673</v>
      </c>
      <c r="I76" s="62">
        <v>32.586771354267917</v>
      </c>
      <c r="J76" s="62">
        <v>11.91799445572469</v>
      </c>
      <c r="K76" s="62">
        <v>2.6763641797930107</v>
      </c>
      <c r="L76" s="62">
        <v>1.182696244102583</v>
      </c>
    </row>
    <row r="77" spans="1:12" s="19" customFormat="1" ht="11.1" customHeight="1" x14ac:dyDescent="0.25">
      <c r="A77" s="37"/>
      <c r="B77" s="87" t="s">
        <v>225</v>
      </c>
      <c r="C77" s="36"/>
      <c r="D77" s="101">
        <v>54.00973852331078</v>
      </c>
      <c r="E77" s="102">
        <v>3.3370147836237085</v>
      </c>
      <c r="F77" s="61">
        <v>100</v>
      </c>
      <c r="G77" s="62">
        <v>0.1637705002482984</v>
      </c>
      <c r="H77" s="62">
        <v>25.339624210748251</v>
      </c>
      <c r="I77" s="62">
        <v>15.142770462398525</v>
      </c>
      <c r="J77" s="62">
        <v>59.339026079594234</v>
      </c>
      <c r="K77" s="62">
        <v>1.4808747010687994E-2</v>
      </c>
      <c r="L77" s="62">
        <v>0</v>
      </c>
    </row>
    <row r="78" spans="1:12" s="19" customFormat="1" ht="11.1" customHeight="1" x14ac:dyDescent="0.25">
      <c r="A78" s="37"/>
      <c r="B78" s="86" t="s">
        <v>89</v>
      </c>
      <c r="C78" s="36"/>
      <c r="D78" s="101">
        <v>4225.4394113881826</v>
      </c>
      <c r="E78" s="102">
        <v>1.640141051232727</v>
      </c>
      <c r="F78" s="61">
        <v>100</v>
      </c>
      <c r="G78" s="62">
        <v>56.499225511332106</v>
      </c>
      <c r="H78" s="62">
        <v>28.35135085606834</v>
      </c>
      <c r="I78" s="62">
        <v>10.756422037569285</v>
      </c>
      <c r="J78" s="62">
        <v>3.7315789580812875</v>
      </c>
      <c r="K78" s="62">
        <v>0.35193986692379486</v>
      </c>
      <c r="L78" s="62">
        <v>0.30948277002531244</v>
      </c>
    </row>
    <row r="79" spans="1:12" s="19" customFormat="1" ht="11.1" customHeight="1" x14ac:dyDescent="0.25">
      <c r="A79" s="37"/>
      <c r="B79" s="87" t="s">
        <v>69</v>
      </c>
      <c r="C79" s="36"/>
      <c r="D79" s="101">
        <v>3392.1589344848776</v>
      </c>
      <c r="E79" s="102">
        <v>1.7147934772687177</v>
      </c>
      <c r="F79" s="61">
        <v>100</v>
      </c>
      <c r="G79" s="62">
        <v>52.212592016320436</v>
      </c>
      <c r="H79" s="62">
        <v>30.460686395006665</v>
      </c>
      <c r="I79" s="62">
        <v>12.163502384835207</v>
      </c>
      <c r="J79" s="62">
        <v>4.34672715860063</v>
      </c>
      <c r="K79" s="62">
        <v>0.43098513979204234</v>
      </c>
      <c r="L79" s="62">
        <v>0.38550690544490179</v>
      </c>
    </row>
    <row r="80" spans="1:12" s="19" customFormat="1" ht="11.1" customHeight="1" x14ac:dyDescent="0.25">
      <c r="A80" s="37"/>
      <c r="B80" s="87" t="s">
        <v>226</v>
      </c>
      <c r="C80" s="36"/>
      <c r="D80" s="101">
        <v>905.46231577048854</v>
      </c>
      <c r="E80" s="102">
        <v>1.5541305203209967</v>
      </c>
      <c r="F80" s="61">
        <v>100</v>
      </c>
      <c r="G80" s="62">
        <v>62.726984954940384</v>
      </c>
      <c r="H80" s="62">
        <v>24.04734336037551</v>
      </c>
      <c r="I80" s="62">
        <v>8.5657199986065127</v>
      </c>
      <c r="J80" s="62">
        <v>4.4055380697983937</v>
      </c>
      <c r="K80" s="62">
        <v>0.25441361627901071</v>
      </c>
      <c r="L80" s="62">
        <v>0</v>
      </c>
    </row>
    <row r="81" spans="1:12" s="19" customFormat="1" ht="11.1" customHeight="1" x14ac:dyDescent="0.25">
      <c r="A81" s="37"/>
      <c r="B81" s="87" t="s">
        <v>227</v>
      </c>
      <c r="C81" s="36"/>
      <c r="D81" s="101">
        <v>54.049038344316266</v>
      </c>
      <c r="E81" s="102">
        <v>1.1075285006209155</v>
      </c>
      <c r="F81" s="61">
        <v>100</v>
      </c>
      <c r="G81" s="62">
        <v>89.247149937908418</v>
      </c>
      <c r="H81" s="62">
        <v>10.75285006209157</v>
      </c>
      <c r="I81" s="62">
        <v>0</v>
      </c>
      <c r="J81" s="62">
        <v>0</v>
      </c>
      <c r="K81" s="62">
        <v>0</v>
      </c>
      <c r="L81" s="62">
        <v>0</v>
      </c>
    </row>
    <row r="82" spans="1:12" s="19" customFormat="1" ht="11.1" customHeight="1" x14ac:dyDescent="0.25">
      <c r="A82" s="37"/>
      <c r="B82" s="86" t="s">
        <v>90</v>
      </c>
      <c r="C82" s="36"/>
      <c r="D82" s="101">
        <v>20244.021871004315</v>
      </c>
      <c r="E82" s="102">
        <v>1.1562528078777248</v>
      </c>
      <c r="F82" s="61">
        <v>100</v>
      </c>
      <c r="G82" s="62">
        <v>88.527186585888899</v>
      </c>
      <c r="H82" s="62">
        <v>8.2991812028923846</v>
      </c>
      <c r="I82" s="62">
        <v>2.3795150593566583</v>
      </c>
      <c r="J82" s="62">
        <v>0.60993591276550985</v>
      </c>
      <c r="K82" s="62">
        <v>0.18364446760269265</v>
      </c>
      <c r="L82" s="62">
        <v>5.3677149208995485E-4</v>
      </c>
    </row>
    <row r="83" spans="1:12" s="19" customFormat="1" ht="11.1" customHeight="1" x14ac:dyDescent="0.25">
      <c r="A83" s="37"/>
      <c r="B83" s="87" t="s">
        <v>63</v>
      </c>
      <c r="C83" s="36"/>
      <c r="D83" s="101">
        <v>12883.629774043979</v>
      </c>
      <c r="E83" s="102">
        <v>1.1686988382994081</v>
      </c>
      <c r="F83" s="61">
        <v>100</v>
      </c>
      <c r="G83" s="62">
        <v>86.830475039034241</v>
      </c>
      <c r="H83" s="62">
        <v>10.12406261921741</v>
      </c>
      <c r="I83" s="62">
        <v>2.4700076416707071</v>
      </c>
      <c r="J83" s="62">
        <v>0.49685630090589561</v>
      </c>
      <c r="K83" s="62">
        <v>7.7754971192000533E-2</v>
      </c>
      <c r="L83" s="62">
        <v>8.4342797924019056E-4</v>
      </c>
    </row>
    <row r="84" spans="1:12" s="19" customFormat="1" ht="11.1" customHeight="1" x14ac:dyDescent="0.25">
      <c r="A84" s="37"/>
      <c r="B84" s="87" t="s">
        <v>70</v>
      </c>
      <c r="C84" s="36"/>
      <c r="D84" s="101">
        <v>7822.0781573598115</v>
      </c>
      <c r="E84" s="102">
        <v>1.2562434337707979</v>
      </c>
      <c r="F84" s="61">
        <v>100</v>
      </c>
      <c r="G84" s="62">
        <v>81.786522826588524</v>
      </c>
      <c r="H84" s="62">
        <v>12.90702084731725</v>
      </c>
      <c r="I84" s="62">
        <v>3.6011596018958612</v>
      </c>
      <c r="J84" s="62">
        <v>1.3061835708225755</v>
      </c>
      <c r="K84" s="62">
        <v>0.39911315337578013</v>
      </c>
      <c r="L84" s="62">
        <v>0</v>
      </c>
    </row>
    <row r="85" spans="1:12" s="19" customFormat="1" ht="11.1" customHeight="1" x14ac:dyDescent="0.25">
      <c r="A85" s="37"/>
      <c r="B85" s="87" t="s">
        <v>178</v>
      </c>
      <c r="C85" s="36"/>
      <c r="D85" s="101">
        <v>510.3902008002301</v>
      </c>
      <c r="E85" s="102">
        <v>1.3630229945299561</v>
      </c>
      <c r="F85" s="61">
        <v>100</v>
      </c>
      <c r="G85" s="62">
        <v>66.055410340528482</v>
      </c>
      <c r="H85" s="62">
        <v>31.586879865947729</v>
      </c>
      <c r="I85" s="62">
        <v>2.3577097935238527</v>
      </c>
      <c r="J85" s="62">
        <v>0</v>
      </c>
      <c r="K85" s="62">
        <v>0</v>
      </c>
      <c r="L85" s="62">
        <v>0</v>
      </c>
    </row>
    <row r="86" spans="1:12" s="19" customFormat="1" ht="11.1" customHeight="1" x14ac:dyDescent="0.25">
      <c r="A86" s="37" t="s">
        <v>5</v>
      </c>
      <c r="B86" s="38"/>
      <c r="C86" s="36" t="s">
        <v>19</v>
      </c>
      <c r="D86" s="101"/>
      <c r="E86" s="102"/>
      <c r="F86" s="61"/>
      <c r="G86" s="62"/>
      <c r="H86" s="62"/>
      <c r="I86" s="62"/>
      <c r="J86" s="62"/>
      <c r="K86" s="62"/>
      <c r="L86" s="62"/>
    </row>
    <row r="87" spans="1:12" s="19" customFormat="1" ht="11.1" customHeight="1" x14ac:dyDescent="0.25">
      <c r="A87" s="37"/>
      <c r="B87" s="38" t="s">
        <v>6</v>
      </c>
      <c r="C87" s="36"/>
      <c r="D87" s="101">
        <v>15320.453007463871</v>
      </c>
      <c r="E87" s="102">
        <v>1.1115364530411349</v>
      </c>
      <c r="F87" s="61">
        <v>100</v>
      </c>
      <c r="G87" s="62">
        <v>91.684799846065744</v>
      </c>
      <c r="H87" s="62">
        <v>5.7448870312364511</v>
      </c>
      <c r="I87" s="62">
        <v>2.3107024962142981</v>
      </c>
      <c r="J87" s="62">
        <v>0.25179850045274449</v>
      </c>
      <c r="K87" s="62">
        <v>7.1028510618368814E-3</v>
      </c>
      <c r="L87" s="62">
        <v>7.0927496858655078E-4</v>
      </c>
    </row>
    <row r="88" spans="1:12" s="19" customFormat="1" ht="11.1" customHeight="1" x14ac:dyDescent="0.25">
      <c r="A88" s="37"/>
      <c r="B88" s="38" t="s">
        <v>7</v>
      </c>
      <c r="C88" s="36"/>
      <c r="D88" s="101">
        <v>1523.3731012791009</v>
      </c>
      <c r="E88" s="102">
        <v>1.3373231224379094</v>
      </c>
      <c r="F88" s="61">
        <v>100</v>
      </c>
      <c r="G88" s="62">
        <v>73.480325437835177</v>
      </c>
      <c r="H88" s="62">
        <v>20.532646816572559</v>
      </c>
      <c r="I88" s="62">
        <v>4.7614178095580177</v>
      </c>
      <c r="J88" s="62">
        <v>1.2256099360340795</v>
      </c>
      <c r="K88" s="62">
        <v>0</v>
      </c>
      <c r="L88" s="62">
        <v>0</v>
      </c>
    </row>
    <row r="89" spans="1:12" s="19" customFormat="1" ht="11.1" customHeight="1" x14ac:dyDescent="0.25">
      <c r="A89" s="37"/>
      <c r="B89" s="38" t="s">
        <v>122</v>
      </c>
      <c r="C89" s="36"/>
      <c r="D89" s="101">
        <v>1359.6993823017069</v>
      </c>
      <c r="E89" s="102">
        <v>1.1989998890054816</v>
      </c>
      <c r="F89" s="61">
        <v>100</v>
      </c>
      <c r="G89" s="62">
        <v>87.109763644029599</v>
      </c>
      <c r="H89" s="62">
        <v>5.8804838113924465</v>
      </c>
      <c r="I89" s="62">
        <v>7.0097525445779221</v>
      </c>
      <c r="J89" s="62">
        <v>0</v>
      </c>
      <c r="K89" s="62">
        <v>0</v>
      </c>
      <c r="L89" s="62">
        <v>0</v>
      </c>
    </row>
    <row r="90" spans="1:12" s="19" customFormat="1" ht="11.1" customHeight="1" x14ac:dyDescent="0.25">
      <c r="A90" s="37"/>
      <c r="B90" s="38" t="s">
        <v>8</v>
      </c>
      <c r="C90" s="36"/>
      <c r="D90" s="101">
        <v>5729.4491898323067</v>
      </c>
      <c r="E90" s="102">
        <v>1.0638165494422784</v>
      </c>
      <c r="F90" s="61">
        <v>100</v>
      </c>
      <c r="G90" s="62">
        <v>94.573860461095947</v>
      </c>
      <c r="H90" s="62">
        <v>4.6536664476555494</v>
      </c>
      <c r="I90" s="62">
        <v>0.58943077717249603</v>
      </c>
      <c r="J90" s="62">
        <v>0.18304231407574664</v>
      </c>
      <c r="K90" s="62">
        <v>0</v>
      </c>
      <c r="L90" s="62">
        <v>0</v>
      </c>
    </row>
    <row r="91" spans="1:12" s="19" customFormat="1" ht="11.1" customHeight="1" x14ac:dyDescent="0.25">
      <c r="A91" s="37"/>
      <c r="B91" s="38" t="s">
        <v>9</v>
      </c>
      <c r="C91" s="36"/>
      <c r="D91" s="101">
        <v>5589.282429341185</v>
      </c>
      <c r="E91" s="102">
        <v>1.1732111773360541</v>
      </c>
      <c r="F91" s="61">
        <v>100</v>
      </c>
      <c r="G91" s="62">
        <v>87.263312633476914</v>
      </c>
      <c r="H91" s="62">
        <v>9.334169502614623</v>
      </c>
      <c r="I91" s="62">
        <v>2.2640804708488127</v>
      </c>
      <c r="J91" s="62">
        <v>1.0949622829440435</v>
      </c>
      <c r="K91" s="62">
        <v>4.3475110115140311E-2</v>
      </c>
      <c r="L91" s="62">
        <v>0</v>
      </c>
    </row>
    <row r="92" spans="1:12" s="19" customFormat="1" ht="11.1" customHeight="1" x14ac:dyDescent="0.25">
      <c r="A92" s="37"/>
      <c r="B92" s="38" t="s">
        <v>10</v>
      </c>
      <c r="C92" s="36"/>
      <c r="D92" s="101">
        <v>4387.4425573896106</v>
      </c>
      <c r="E92" s="102">
        <v>1.2715082700483753</v>
      </c>
      <c r="F92" s="61">
        <v>100</v>
      </c>
      <c r="G92" s="62">
        <v>82.260940952531413</v>
      </c>
      <c r="H92" s="62">
        <v>9.7056656382073871</v>
      </c>
      <c r="I92" s="62">
        <v>6.9655158509315207</v>
      </c>
      <c r="J92" s="62">
        <v>0.75738056855108993</v>
      </c>
      <c r="K92" s="62">
        <v>0.31049698977838175</v>
      </c>
      <c r="L92" s="62">
        <v>0</v>
      </c>
    </row>
    <row r="93" spans="1:12" s="19" customFormat="1" ht="11.1" customHeight="1" x14ac:dyDescent="0.25">
      <c r="A93" s="37" t="s">
        <v>72</v>
      </c>
      <c r="B93" s="38"/>
      <c r="C93" s="36" t="s">
        <v>19</v>
      </c>
      <c r="D93" s="101"/>
      <c r="E93" s="102"/>
      <c r="F93" s="61"/>
      <c r="G93" s="62"/>
      <c r="H93" s="62"/>
      <c r="I93" s="62"/>
      <c r="J93" s="62"/>
      <c r="K93" s="62"/>
      <c r="L93" s="62"/>
    </row>
    <row r="94" spans="1:12" s="19" customFormat="1" ht="11.1" customHeight="1" x14ac:dyDescent="0.25">
      <c r="A94" s="37"/>
      <c r="B94" s="38" t="s">
        <v>123</v>
      </c>
      <c r="C94" s="36"/>
      <c r="D94" s="101">
        <v>3579.0797673512834</v>
      </c>
      <c r="E94" s="102">
        <v>1.1816677012829448</v>
      </c>
      <c r="F94" s="61">
        <v>100</v>
      </c>
      <c r="G94" s="62">
        <v>87.510154216338151</v>
      </c>
      <c r="H94" s="62">
        <v>6.9625289372114931</v>
      </c>
      <c r="I94" s="62">
        <v>5.3777093482681</v>
      </c>
      <c r="J94" s="62">
        <v>0.14960749818232669</v>
      </c>
      <c r="K94" s="62">
        <v>0</v>
      </c>
      <c r="L94" s="62">
        <v>0</v>
      </c>
    </row>
    <row r="95" spans="1:12" s="19" customFormat="1" ht="11.1" customHeight="1" x14ac:dyDescent="0.25">
      <c r="A95" s="37"/>
      <c r="B95" s="38" t="s">
        <v>124</v>
      </c>
      <c r="C95" s="36"/>
      <c r="D95" s="101">
        <v>14075.367015462391</v>
      </c>
      <c r="E95" s="102">
        <v>1.0850233862869219</v>
      </c>
      <c r="F95" s="61">
        <v>100</v>
      </c>
      <c r="G95" s="62">
        <v>93.511247852902358</v>
      </c>
      <c r="H95" s="62">
        <v>4.7105078892244254</v>
      </c>
      <c r="I95" s="62">
        <v>1.5429020341515871</v>
      </c>
      <c r="J95" s="62">
        <v>0.23534222372166699</v>
      </c>
      <c r="K95" s="62">
        <v>0</v>
      </c>
      <c r="L95" s="62">
        <v>0</v>
      </c>
    </row>
    <row r="96" spans="1:12" s="19" customFormat="1" ht="11.1" customHeight="1" x14ac:dyDescent="0.25">
      <c r="A96" s="37"/>
      <c r="B96" s="38" t="s">
        <v>219</v>
      </c>
      <c r="C96" s="36"/>
      <c r="D96" s="101">
        <v>5835.1902727224415</v>
      </c>
      <c r="E96" s="102">
        <v>1.0966500629663076</v>
      </c>
      <c r="F96" s="61">
        <v>100</v>
      </c>
      <c r="G96" s="62">
        <v>92.593389752722871</v>
      </c>
      <c r="H96" s="62">
        <v>5.2728610487503023</v>
      </c>
      <c r="I96" s="62">
        <v>2.0092394154775501</v>
      </c>
      <c r="J96" s="62">
        <v>0.12437271527356174</v>
      </c>
      <c r="K96" s="62">
        <v>1.370677761176003E-4</v>
      </c>
      <c r="L96" s="62">
        <v>0</v>
      </c>
    </row>
    <row r="97" spans="1:12" s="19" customFormat="1" ht="11.1" customHeight="1" x14ac:dyDescent="0.25">
      <c r="A97" s="37"/>
      <c r="B97" s="38" t="s">
        <v>214</v>
      </c>
      <c r="C97" s="36"/>
      <c r="D97" s="101">
        <v>4300.7329490763877</v>
      </c>
      <c r="E97" s="102">
        <v>1.0774158829922942</v>
      </c>
      <c r="F97" s="61">
        <v>100</v>
      </c>
      <c r="G97" s="62">
        <v>94.244015910753305</v>
      </c>
      <c r="H97" s="62">
        <v>4.0490891020646469</v>
      </c>
      <c r="I97" s="62">
        <v>1.4281857643800178</v>
      </c>
      <c r="J97" s="62">
        <v>0.27870922280160015</v>
      </c>
      <c r="K97" s="62">
        <v>0</v>
      </c>
      <c r="L97" s="62">
        <v>0</v>
      </c>
    </row>
    <row r="98" spans="1:12" s="19" customFormat="1" ht="11.1" customHeight="1" x14ac:dyDescent="0.25">
      <c r="A98" s="37"/>
      <c r="B98" s="38" t="s">
        <v>216</v>
      </c>
      <c r="C98" s="36"/>
      <c r="D98" s="101">
        <v>3110.0344323366776</v>
      </c>
      <c r="E98" s="102">
        <v>1.0964678351242401</v>
      </c>
      <c r="F98" s="61">
        <v>100</v>
      </c>
      <c r="G98" s="62">
        <v>92.811501534503989</v>
      </c>
      <c r="H98" s="62">
        <v>5.1330855358300722</v>
      </c>
      <c r="I98" s="62">
        <v>1.6525408124043592</v>
      </c>
      <c r="J98" s="62">
        <v>0.40287211726162303</v>
      </c>
      <c r="K98" s="62">
        <v>0</v>
      </c>
      <c r="L98" s="62">
        <v>0</v>
      </c>
    </row>
    <row r="99" spans="1:12" s="19" customFormat="1" ht="11.1" customHeight="1" x14ac:dyDescent="0.25">
      <c r="A99" s="37"/>
      <c r="B99" s="38" t="s">
        <v>218</v>
      </c>
      <c r="C99" s="36"/>
      <c r="D99" s="101">
        <v>4969.2914775255067</v>
      </c>
      <c r="E99" s="102">
        <v>1.1114137750184994</v>
      </c>
      <c r="F99" s="61">
        <v>100</v>
      </c>
      <c r="G99" s="62">
        <v>91.182424941686733</v>
      </c>
      <c r="H99" s="62">
        <v>6.7093285164666048</v>
      </c>
      <c r="I99" s="62">
        <v>1.8926906401571362</v>
      </c>
      <c r="J99" s="62">
        <v>0.21555590168958641</v>
      </c>
      <c r="K99" s="62">
        <v>0</v>
      </c>
      <c r="L99" s="62">
        <v>0</v>
      </c>
    </row>
    <row r="100" spans="1:12" s="19" customFormat="1" ht="11.1" customHeight="1" x14ac:dyDescent="0.25">
      <c r="A100" s="37"/>
      <c r="B100" s="38" t="s">
        <v>125</v>
      </c>
      <c r="C100" s="36"/>
      <c r="D100" s="101">
        <v>12405.813154336505</v>
      </c>
      <c r="E100" s="102">
        <v>1.1115856109636266</v>
      </c>
      <c r="F100" s="61">
        <v>100</v>
      </c>
      <c r="G100" s="62">
        <v>91.248341474235644</v>
      </c>
      <c r="H100" s="62">
        <v>6.6364766219783675</v>
      </c>
      <c r="I100" s="62">
        <v>1.931214892825712</v>
      </c>
      <c r="J100" s="62">
        <v>7.6213355105780076E-2</v>
      </c>
      <c r="K100" s="62">
        <v>0.10775365585400397</v>
      </c>
      <c r="L100" s="62">
        <v>0</v>
      </c>
    </row>
    <row r="101" spans="1:12" s="19" customFormat="1" ht="11.1" customHeight="1" x14ac:dyDescent="0.25">
      <c r="A101" s="37"/>
      <c r="B101" s="38" t="s">
        <v>126</v>
      </c>
      <c r="C101" s="36"/>
      <c r="D101" s="101">
        <v>5271.0495698001669</v>
      </c>
      <c r="E101" s="102">
        <v>1.1103665679097714</v>
      </c>
      <c r="F101" s="61">
        <v>100</v>
      </c>
      <c r="G101" s="62">
        <v>90.985735023598551</v>
      </c>
      <c r="H101" s="62">
        <v>7.0840238721758801</v>
      </c>
      <c r="I101" s="62">
        <v>1.8380903938749948</v>
      </c>
      <c r="J101" s="62">
        <v>9.2150710350263967E-2</v>
      </c>
      <c r="K101" s="62">
        <v>0</v>
      </c>
      <c r="L101" s="62">
        <v>0</v>
      </c>
    </row>
    <row r="102" spans="1:12" s="19" customFormat="1" ht="11.1" customHeight="1" x14ac:dyDescent="0.25">
      <c r="A102" s="37"/>
      <c r="B102" s="38" t="s">
        <v>127</v>
      </c>
      <c r="C102" s="36"/>
      <c r="D102" s="101">
        <v>1030.3868162277051</v>
      </c>
      <c r="E102" s="102">
        <v>1.0695985807627422</v>
      </c>
      <c r="F102" s="61">
        <v>100</v>
      </c>
      <c r="G102" s="62">
        <v>94.010731437581597</v>
      </c>
      <c r="H102" s="62">
        <v>5.0831865376556173</v>
      </c>
      <c r="I102" s="62">
        <v>0.84157453566972473</v>
      </c>
      <c r="J102" s="62">
        <v>6.4507489093030182E-2</v>
      </c>
      <c r="K102" s="62">
        <v>0</v>
      </c>
      <c r="L102" s="62">
        <v>0</v>
      </c>
    </row>
    <row r="103" spans="1:12" s="19" customFormat="1" ht="11.1" customHeight="1" x14ac:dyDescent="0.25">
      <c r="A103" s="37"/>
      <c r="B103" s="38" t="s">
        <v>12</v>
      </c>
      <c r="C103" s="36"/>
      <c r="D103" s="101">
        <v>553.92089620882177</v>
      </c>
      <c r="E103" s="102">
        <v>1.0767183534686748</v>
      </c>
      <c r="F103" s="61">
        <v>100</v>
      </c>
      <c r="G103" s="62">
        <v>92.475820587962758</v>
      </c>
      <c r="H103" s="62">
        <v>7.4085565011395653</v>
      </c>
      <c r="I103" s="62">
        <v>8.3589886964683335E-2</v>
      </c>
      <c r="J103" s="62">
        <v>3.2033023932882709E-2</v>
      </c>
      <c r="K103" s="62">
        <v>0</v>
      </c>
      <c r="L103" s="62">
        <v>0</v>
      </c>
    </row>
    <row r="104" spans="1:12" s="19" customFormat="1" ht="4.5" customHeight="1" x14ac:dyDescent="0.25">
      <c r="A104" s="63"/>
      <c r="B104" s="64"/>
      <c r="C104" s="65"/>
      <c r="D104" s="106"/>
      <c r="E104" s="107"/>
      <c r="F104" s="67"/>
      <c r="G104" s="69"/>
      <c r="H104" s="69"/>
      <c r="I104" s="69"/>
      <c r="J104" s="69"/>
      <c r="K104" s="69"/>
      <c r="L104" s="69"/>
    </row>
    <row r="105" spans="1:12" s="19" customFormat="1" ht="4.5" customHeight="1" x14ac:dyDescent="0.25">
      <c r="A105" s="30"/>
      <c r="B105" s="70"/>
      <c r="C105" s="108"/>
      <c r="D105" s="79"/>
      <c r="E105" s="109"/>
      <c r="F105" s="110"/>
      <c r="G105" s="71"/>
      <c r="H105" s="71"/>
      <c r="I105" s="71"/>
      <c r="J105" s="71"/>
      <c r="K105" s="71"/>
      <c r="L105" s="71"/>
    </row>
    <row r="106" spans="1:12" s="19" customFormat="1" ht="11.1" customHeight="1" x14ac:dyDescent="0.25">
      <c r="A106" s="37" t="s">
        <v>62</v>
      </c>
      <c r="B106" s="38"/>
      <c r="C106" s="36" t="s">
        <v>19</v>
      </c>
      <c r="D106" s="101"/>
      <c r="E106" s="102"/>
      <c r="F106" s="61"/>
      <c r="G106" s="62"/>
      <c r="H106" s="62"/>
      <c r="I106" s="62"/>
      <c r="J106" s="62"/>
      <c r="K106" s="62"/>
      <c r="L106" s="62"/>
    </row>
    <row r="107" spans="1:12" s="19" customFormat="1" ht="11.1" customHeight="1" x14ac:dyDescent="0.25">
      <c r="A107" s="37"/>
      <c r="B107" s="38" t="s">
        <v>129</v>
      </c>
      <c r="C107" s="36"/>
      <c r="D107" s="101">
        <v>18681.171391806136</v>
      </c>
      <c r="E107" s="102">
        <v>1.2085242327465262</v>
      </c>
      <c r="F107" s="61">
        <v>100</v>
      </c>
      <c r="G107" s="62">
        <v>83.79478750482717</v>
      </c>
      <c r="H107" s="62">
        <v>12.526926285138449</v>
      </c>
      <c r="I107" s="62">
        <v>2.7914971773555917</v>
      </c>
      <c r="J107" s="62">
        <v>0.80465349591397428</v>
      </c>
      <c r="K107" s="62">
        <v>8.2135536765387693E-2</v>
      </c>
      <c r="L107" s="62">
        <v>0</v>
      </c>
    </row>
    <row r="108" spans="1:12" s="19" customFormat="1" ht="11.1" customHeight="1" x14ac:dyDescent="0.25">
      <c r="A108" s="37"/>
      <c r="B108" s="38" t="s">
        <v>130</v>
      </c>
      <c r="C108" s="36"/>
      <c r="D108" s="101">
        <v>30225.715094024323</v>
      </c>
      <c r="E108" s="102">
        <v>1.1998215672603412</v>
      </c>
      <c r="F108" s="61">
        <v>100</v>
      </c>
      <c r="G108" s="62">
        <v>84.251321374052836</v>
      </c>
      <c r="H108" s="62">
        <v>12.244738221700555</v>
      </c>
      <c r="I108" s="62">
        <v>2.8566721678977229</v>
      </c>
      <c r="J108" s="62">
        <v>0.58187947226750014</v>
      </c>
      <c r="K108" s="62">
        <v>4.8508068664195145E-2</v>
      </c>
      <c r="L108" s="62">
        <v>1.6880695415894889E-2</v>
      </c>
    </row>
    <row r="109" spans="1:12" s="19" customFormat="1" ht="11.1" customHeight="1" x14ac:dyDescent="0.25">
      <c r="A109" s="37"/>
      <c r="B109" s="38" t="s">
        <v>131</v>
      </c>
      <c r="C109" s="36"/>
      <c r="D109" s="101">
        <v>29872.683606064089</v>
      </c>
      <c r="E109" s="102">
        <v>1.2161367091898307</v>
      </c>
      <c r="F109" s="61">
        <v>100</v>
      </c>
      <c r="G109" s="62">
        <v>83.840718793563198</v>
      </c>
      <c r="H109" s="62">
        <v>11.812741789426633</v>
      </c>
      <c r="I109" s="62">
        <v>3.4276968077443106</v>
      </c>
      <c r="J109" s="62">
        <v>0.73089159735648856</v>
      </c>
      <c r="K109" s="62">
        <v>0.18689433755025461</v>
      </c>
      <c r="L109" s="62">
        <v>1.0566743592183667E-3</v>
      </c>
    </row>
    <row r="110" spans="1:12" s="19" customFormat="1" ht="11.1" customHeight="1" x14ac:dyDescent="0.25">
      <c r="A110" s="37"/>
      <c r="B110" s="38" t="s">
        <v>132</v>
      </c>
      <c r="C110" s="36"/>
      <c r="D110" s="101">
        <v>30432.519243573381</v>
      </c>
      <c r="E110" s="102">
        <v>1.2114407218280299</v>
      </c>
      <c r="F110" s="61">
        <v>100</v>
      </c>
      <c r="G110" s="62">
        <v>83.840366907727201</v>
      </c>
      <c r="H110" s="62">
        <v>12.061890106025215</v>
      </c>
      <c r="I110" s="62">
        <v>3.2680080655748993</v>
      </c>
      <c r="J110" s="62">
        <v>0.78090364311622917</v>
      </c>
      <c r="K110" s="62">
        <v>4.0701371505064983E-2</v>
      </c>
      <c r="L110" s="62">
        <v>8.1299060515751843E-3</v>
      </c>
    </row>
    <row r="111" spans="1:12" s="19" customFormat="1" ht="11.1" customHeight="1" x14ac:dyDescent="0.25">
      <c r="A111" s="37"/>
      <c r="B111" s="38" t="s">
        <v>133</v>
      </c>
      <c r="C111" s="36"/>
      <c r="D111" s="101">
        <v>29397.221934808134</v>
      </c>
      <c r="E111" s="102">
        <v>1.2090513660806232</v>
      </c>
      <c r="F111" s="61">
        <v>100</v>
      </c>
      <c r="G111" s="62">
        <v>84.242961222154648</v>
      </c>
      <c r="H111" s="62">
        <v>11.626714602542974</v>
      </c>
      <c r="I111" s="62">
        <v>3.2155353172681509</v>
      </c>
      <c r="J111" s="62">
        <v>0.81452592420703207</v>
      </c>
      <c r="K111" s="62">
        <v>9.7541070774220168E-2</v>
      </c>
      <c r="L111" s="62">
        <v>2.7218630531886919E-3</v>
      </c>
    </row>
    <row r="112" spans="1:12" s="19" customFormat="1" ht="11.1" customHeight="1" x14ac:dyDescent="0.25">
      <c r="A112" s="37"/>
      <c r="B112" s="38" t="s">
        <v>134</v>
      </c>
      <c r="C112" s="36"/>
      <c r="D112" s="101">
        <v>29646.157936839121</v>
      </c>
      <c r="E112" s="102">
        <v>1.2240845039436967</v>
      </c>
      <c r="F112" s="61">
        <v>100</v>
      </c>
      <c r="G112" s="62">
        <v>83.595257361216781</v>
      </c>
      <c r="H112" s="62">
        <v>11.789838942736115</v>
      </c>
      <c r="I112" s="62">
        <v>3.3752173190859378</v>
      </c>
      <c r="J112" s="62">
        <v>1.0905686943842285</v>
      </c>
      <c r="K112" s="62">
        <v>0.14911768257721278</v>
      </c>
      <c r="L112" s="62">
        <v>0</v>
      </c>
    </row>
    <row r="113" spans="1:12" s="19" customFormat="1" ht="11.1" customHeight="1" x14ac:dyDescent="0.25">
      <c r="A113" s="37"/>
      <c r="B113" s="38" t="s">
        <v>135</v>
      </c>
      <c r="C113" s="36"/>
      <c r="D113" s="101">
        <v>29607.162706923256</v>
      </c>
      <c r="E113" s="102">
        <v>1.211138305853684</v>
      </c>
      <c r="F113" s="61">
        <v>100</v>
      </c>
      <c r="G113" s="62">
        <v>83.896080929188159</v>
      </c>
      <c r="H113" s="62">
        <v>12.064561037080932</v>
      </c>
      <c r="I113" s="62">
        <v>3.1946230874148038</v>
      </c>
      <c r="J113" s="62">
        <v>0.73255562935797425</v>
      </c>
      <c r="K113" s="62">
        <v>9.8540099400687031E-2</v>
      </c>
      <c r="L113" s="62">
        <v>1.3639217556431353E-2</v>
      </c>
    </row>
    <row r="114" spans="1:12" s="19" customFormat="1" ht="11.1" customHeight="1" x14ac:dyDescent="0.25">
      <c r="A114" s="37"/>
      <c r="B114" s="38" t="s">
        <v>136</v>
      </c>
      <c r="C114" s="36"/>
      <c r="D114" s="101">
        <v>30541.049878770918</v>
      </c>
      <c r="E114" s="102">
        <v>1.223104586486164</v>
      </c>
      <c r="F114" s="61">
        <v>100</v>
      </c>
      <c r="G114" s="62">
        <v>83.335104926847904</v>
      </c>
      <c r="H114" s="62">
        <v>12.504233073223569</v>
      </c>
      <c r="I114" s="62">
        <v>2.9644371604540929</v>
      </c>
      <c r="J114" s="62">
        <v>0.93317956185164841</v>
      </c>
      <c r="K114" s="62">
        <v>0.23741381918410304</v>
      </c>
      <c r="L114" s="62">
        <v>2.563145843861522E-2</v>
      </c>
    </row>
    <row r="115" spans="1:12" s="19" customFormat="1" ht="11.1" customHeight="1" x14ac:dyDescent="0.25">
      <c r="A115" s="37"/>
      <c r="B115" s="38" t="s">
        <v>192</v>
      </c>
      <c r="C115" s="36"/>
      <c r="D115" s="101">
        <v>28456.740211754342</v>
      </c>
      <c r="E115" s="102">
        <v>1.1994161395265504</v>
      </c>
      <c r="F115" s="61">
        <v>100</v>
      </c>
      <c r="G115" s="62">
        <v>84.689199096195992</v>
      </c>
      <c r="H115" s="62">
        <v>11.600746077003798</v>
      </c>
      <c r="I115" s="62">
        <v>2.836757151719171</v>
      </c>
      <c r="J115" s="62">
        <v>0.83305435864745225</v>
      </c>
      <c r="K115" s="62">
        <v>3.3026085899234774E-2</v>
      </c>
      <c r="L115" s="62">
        <v>7.2172305345860393E-3</v>
      </c>
    </row>
    <row r="116" spans="1:12" s="19" customFormat="1" ht="11.1" customHeight="1" x14ac:dyDescent="0.25">
      <c r="A116" s="37"/>
      <c r="B116" s="38" t="s">
        <v>194</v>
      </c>
      <c r="C116" s="36"/>
      <c r="D116" s="101">
        <v>27723.181408277604</v>
      </c>
      <c r="E116" s="102">
        <v>1.1933886072206801</v>
      </c>
      <c r="F116" s="61">
        <v>100</v>
      </c>
      <c r="G116" s="62">
        <v>85.266394314800976</v>
      </c>
      <c r="H116" s="62">
        <v>11.330885799862319</v>
      </c>
      <c r="I116" s="62">
        <v>2.4212193859226256</v>
      </c>
      <c r="J116" s="62">
        <v>0.78975005106184859</v>
      </c>
      <c r="K116" s="62">
        <v>0.16246624458376085</v>
      </c>
      <c r="L116" s="62">
        <v>2.9284203768156603E-2</v>
      </c>
    </row>
    <row r="117" spans="1:12" s="19" customFormat="1" ht="11.1" customHeight="1" x14ac:dyDescent="0.25">
      <c r="A117" s="37"/>
      <c r="B117" s="38" t="s">
        <v>205</v>
      </c>
      <c r="C117" s="36"/>
      <c r="D117" s="101">
        <f t="shared" ref="D117:L117" si="2">D$9</f>
        <v>26053.682688391149</v>
      </c>
      <c r="E117" s="102">
        <f t="shared" si="2"/>
        <v>1.2266135283217163</v>
      </c>
      <c r="F117" s="61">
        <f t="shared" si="2"/>
        <v>100</v>
      </c>
      <c r="G117" s="62">
        <f t="shared" si="2"/>
        <v>83.657346882808966</v>
      </c>
      <c r="H117" s="62">
        <f t="shared" si="2"/>
        <v>11.43928398773261</v>
      </c>
      <c r="I117" s="62">
        <f t="shared" si="2"/>
        <v>3.7395352765826573</v>
      </c>
      <c r="J117" s="62">
        <f t="shared" si="2"/>
        <v>0.96294674510463707</v>
      </c>
      <c r="K117" s="62">
        <f t="shared" si="2"/>
        <v>0.15027748289783693</v>
      </c>
      <c r="L117" s="62">
        <f t="shared" si="2"/>
        <v>5.0609624873632963E-2</v>
      </c>
    </row>
    <row r="118" spans="1:12" ht="5.0999999999999996" customHeight="1" x14ac:dyDescent="0.25">
      <c r="A118" s="111"/>
      <c r="B118" s="112"/>
      <c r="C118" s="113"/>
      <c r="D118" s="115"/>
      <c r="E118" s="116"/>
      <c r="F118" s="117"/>
      <c r="G118" s="118"/>
      <c r="H118" s="118"/>
      <c r="I118" s="118"/>
      <c r="J118" s="118"/>
      <c r="K118" s="118"/>
      <c r="L118" s="118"/>
    </row>
  </sheetData>
  <mergeCells count="13">
    <mergeCell ref="A1:L1"/>
    <mergeCell ref="A3:L3"/>
    <mergeCell ref="A5:C7"/>
    <mergeCell ref="E5:E7"/>
    <mergeCell ref="F5:F7"/>
    <mergeCell ref="G6:G7"/>
    <mergeCell ref="H6:H7"/>
    <mergeCell ref="I6:I7"/>
    <mergeCell ref="J6:J7"/>
    <mergeCell ref="K6:K7"/>
    <mergeCell ref="A2:L2"/>
    <mergeCell ref="L6:L7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56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8F2B-1F3C-47D1-938E-79F3ECC498EA}">
  <sheetPr codeName="工作表33"/>
  <dimension ref="A1:P118"/>
  <sheetViews>
    <sheetView showGridLines="0" view="pageBreakPreview" zoomScale="130" zoomScaleNormal="100" zoomScaleSheetLayoutView="130" workbookViewId="0">
      <selection activeCell="W133" sqref="W133"/>
    </sheetView>
  </sheetViews>
  <sheetFormatPr defaultColWidth="9" defaultRowHeight="11.1" customHeight="1" x14ac:dyDescent="0.25"/>
  <cols>
    <col min="1" max="1" width="1.25" style="18" customWidth="1"/>
    <col min="2" max="2" width="17.75" style="44" bestFit="1" customWidth="1"/>
    <col min="3" max="3" width="1.625" style="45" customWidth="1"/>
    <col min="4" max="5" width="7.625" style="88" customWidth="1"/>
    <col min="6" max="7" width="5.625" style="91" customWidth="1"/>
    <col min="8" max="16" width="5.125" style="47" customWidth="1"/>
    <col min="17" max="16384" width="9" style="46"/>
  </cols>
  <sheetData>
    <row r="1" spans="1:16" s="14" customFormat="1" ht="22.15" customHeight="1" x14ac:dyDescent="0.25">
      <c r="A1" s="255" t="s">
        <v>203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1:16" s="19" customFormat="1" ht="13.5" customHeight="1" x14ac:dyDescent="0.25">
      <c r="A3" s="257" t="s">
        <v>208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</row>
    <row r="4" spans="1:16" s="122" customFormat="1" ht="13.5" x14ac:dyDescent="0.25">
      <c r="A4" s="24"/>
      <c r="B4" s="24"/>
      <c r="C4" s="24"/>
      <c r="D4" s="119"/>
      <c r="E4" s="119"/>
      <c r="F4" s="99"/>
      <c r="G4" s="99"/>
      <c r="H4" s="120"/>
      <c r="I4" s="121"/>
      <c r="J4" s="121"/>
      <c r="K4" s="121"/>
      <c r="L4" s="121"/>
      <c r="M4" s="121"/>
      <c r="N4" s="121"/>
      <c r="O4" s="121"/>
      <c r="P4" s="76" t="s">
        <v>119</v>
      </c>
    </row>
    <row r="5" spans="1:16" s="19" customFormat="1" ht="7.5" customHeight="1" x14ac:dyDescent="0.25">
      <c r="A5" s="258" t="s">
        <v>21</v>
      </c>
      <c r="B5" s="258"/>
      <c r="C5" s="259"/>
      <c r="D5" s="264" t="s">
        <v>198</v>
      </c>
      <c r="E5" s="274"/>
      <c r="F5" s="264" t="s">
        <v>71</v>
      </c>
      <c r="G5" s="274"/>
      <c r="H5" s="264" t="s">
        <v>81</v>
      </c>
      <c r="I5" s="51"/>
      <c r="J5" s="51"/>
      <c r="K5" s="51"/>
      <c r="L5" s="51"/>
      <c r="M5" s="51"/>
      <c r="N5" s="51"/>
      <c r="O5" s="51"/>
      <c r="P5" s="51"/>
    </row>
    <row r="6" spans="1:16" s="19" customFormat="1" ht="16.5" customHeight="1" x14ac:dyDescent="0.25">
      <c r="A6" s="260"/>
      <c r="B6" s="260"/>
      <c r="C6" s="261"/>
      <c r="D6" s="265"/>
      <c r="E6" s="275"/>
      <c r="F6" s="265"/>
      <c r="G6" s="275"/>
      <c r="H6" s="265"/>
      <c r="I6" s="267" t="s">
        <v>120</v>
      </c>
      <c r="J6" s="267" t="s">
        <v>144</v>
      </c>
      <c r="K6" s="267" t="s">
        <v>145</v>
      </c>
      <c r="L6" s="267" t="s">
        <v>146</v>
      </c>
      <c r="M6" s="267" t="s">
        <v>121</v>
      </c>
      <c r="N6" s="267" t="s">
        <v>147</v>
      </c>
      <c r="O6" s="267" t="s">
        <v>148</v>
      </c>
      <c r="P6" s="272" t="s">
        <v>149</v>
      </c>
    </row>
    <row r="7" spans="1:16" s="19" customFormat="1" ht="25.5" customHeight="1" x14ac:dyDescent="0.25">
      <c r="A7" s="262"/>
      <c r="B7" s="262"/>
      <c r="C7" s="263"/>
      <c r="D7" s="131" t="s">
        <v>199</v>
      </c>
      <c r="E7" s="131" t="s">
        <v>200</v>
      </c>
      <c r="F7" s="131" t="s">
        <v>199</v>
      </c>
      <c r="G7" s="131" t="s">
        <v>200</v>
      </c>
      <c r="H7" s="266"/>
      <c r="I7" s="268"/>
      <c r="J7" s="268"/>
      <c r="K7" s="268"/>
      <c r="L7" s="268"/>
      <c r="M7" s="268"/>
      <c r="N7" s="268"/>
      <c r="O7" s="268"/>
      <c r="P7" s="266"/>
    </row>
    <row r="8" spans="1:16" s="19" customFormat="1" ht="4.5" customHeight="1" x14ac:dyDescent="0.25">
      <c r="A8" s="30"/>
      <c r="B8" s="31"/>
      <c r="C8" s="77"/>
      <c r="D8" s="78"/>
      <c r="E8" s="79"/>
      <c r="F8" s="90"/>
      <c r="G8" s="90"/>
      <c r="H8" s="80"/>
      <c r="I8" s="81"/>
      <c r="J8" s="81"/>
      <c r="K8" s="81"/>
      <c r="L8" s="81"/>
      <c r="M8" s="81"/>
      <c r="N8" s="81"/>
      <c r="O8" s="81"/>
      <c r="P8" s="81"/>
    </row>
    <row r="9" spans="1:16" s="18" customFormat="1" ht="14.1" customHeight="1" x14ac:dyDescent="0.25">
      <c r="A9" s="33" t="s">
        <v>22</v>
      </c>
      <c r="B9" s="54"/>
      <c r="C9" s="55"/>
      <c r="D9" s="97">
        <v>34236.000000002343</v>
      </c>
      <c r="E9" s="98">
        <v>26053.682688391149</v>
      </c>
      <c r="F9" s="99">
        <v>2.0624760585266415</v>
      </c>
      <c r="G9" s="99">
        <v>2.710209193235678</v>
      </c>
      <c r="H9" s="57">
        <v>100</v>
      </c>
      <c r="I9" s="58">
        <v>23.899746791706477</v>
      </c>
      <c r="J9" s="58">
        <v>2.4133546573918898</v>
      </c>
      <c r="K9" s="58">
        <v>48.912330889191878</v>
      </c>
      <c r="L9" s="58">
        <v>7.8071388589031816</v>
      </c>
      <c r="M9" s="58">
        <v>10.131159964697998</v>
      </c>
      <c r="N9" s="58">
        <v>2.2798156426827267</v>
      </c>
      <c r="O9" s="58">
        <v>2.7527623886298862</v>
      </c>
      <c r="P9" s="58">
        <v>1.8036908067887509</v>
      </c>
    </row>
    <row r="10" spans="1:16" s="19" customFormat="1" ht="14.1" customHeight="1" x14ac:dyDescent="0.25">
      <c r="A10" s="37" t="s">
        <v>23</v>
      </c>
      <c r="B10" s="38"/>
      <c r="C10" s="36" t="s">
        <v>19</v>
      </c>
      <c r="D10" s="100"/>
      <c r="E10" s="101"/>
      <c r="F10" s="102"/>
      <c r="G10" s="102"/>
      <c r="H10" s="61"/>
      <c r="I10" s="62"/>
      <c r="J10" s="62"/>
      <c r="K10" s="62"/>
      <c r="L10" s="62"/>
      <c r="M10" s="62"/>
      <c r="N10" s="62"/>
      <c r="O10" s="62"/>
      <c r="P10" s="62"/>
    </row>
    <row r="11" spans="1:16" s="19" customFormat="1" ht="14.1" customHeight="1" x14ac:dyDescent="0.25">
      <c r="A11" s="37"/>
      <c r="B11" s="38" t="s">
        <v>24</v>
      </c>
      <c r="C11" s="36"/>
      <c r="D11" s="100">
        <v>5980.4970728673106</v>
      </c>
      <c r="E11" s="101">
        <v>4599.2690931745465</v>
      </c>
      <c r="F11" s="102">
        <v>1.9773908273942029</v>
      </c>
      <c r="G11" s="102">
        <v>2.571230301070123</v>
      </c>
      <c r="H11" s="61">
        <v>100</v>
      </c>
      <c r="I11" s="62">
        <v>23.09553809430319</v>
      </c>
      <c r="J11" s="62">
        <v>3.1909161746900989</v>
      </c>
      <c r="K11" s="62">
        <v>51.266254819119261</v>
      </c>
      <c r="L11" s="62">
        <v>9.1528369551492741</v>
      </c>
      <c r="M11" s="62">
        <v>7.5141714595767777</v>
      </c>
      <c r="N11" s="62">
        <v>2.1688191697229411</v>
      </c>
      <c r="O11" s="62">
        <v>2.368312192093887</v>
      </c>
      <c r="P11" s="62">
        <v>1.2431511353443114</v>
      </c>
    </row>
    <row r="12" spans="1:16" s="19" customFormat="1" ht="14.1" customHeight="1" x14ac:dyDescent="0.25">
      <c r="A12" s="37"/>
      <c r="B12" s="38" t="s">
        <v>25</v>
      </c>
      <c r="C12" s="36"/>
      <c r="D12" s="100">
        <v>3636.2279243168505</v>
      </c>
      <c r="E12" s="101">
        <v>2843.4293570069572</v>
      </c>
      <c r="F12" s="102">
        <v>2.192194342055874</v>
      </c>
      <c r="G12" s="102">
        <v>2.8034170296756455</v>
      </c>
      <c r="H12" s="61">
        <v>100</v>
      </c>
      <c r="I12" s="62">
        <v>21.802774298281715</v>
      </c>
      <c r="J12" s="62">
        <v>2.6811727236117266</v>
      </c>
      <c r="K12" s="62">
        <v>45.767414638098877</v>
      </c>
      <c r="L12" s="62">
        <v>10.982888395797447</v>
      </c>
      <c r="M12" s="62">
        <v>10.907155611658252</v>
      </c>
      <c r="N12" s="62">
        <v>2.2267646729994297</v>
      </c>
      <c r="O12" s="62">
        <v>3.5956477923010532</v>
      </c>
      <c r="P12" s="62">
        <v>2.0361818672514218</v>
      </c>
    </row>
    <row r="13" spans="1:16" s="19" customFormat="1" ht="14.1" customHeight="1" x14ac:dyDescent="0.25">
      <c r="A13" s="37"/>
      <c r="B13" s="38" t="s">
        <v>26</v>
      </c>
      <c r="C13" s="36"/>
      <c r="D13" s="100">
        <v>3357.9804981999582</v>
      </c>
      <c r="E13" s="101">
        <v>2655.230118970449</v>
      </c>
      <c r="F13" s="102">
        <v>2.1755436842131961</v>
      </c>
      <c r="G13" s="102">
        <v>2.7513371486621443</v>
      </c>
      <c r="H13" s="61">
        <v>100</v>
      </c>
      <c r="I13" s="62">
        <v>20.927768329989732</v>
      </c>
      <c r="J13" s="62">
        <v>2.078056689464697</v>
      </c>
      <c r="K13" s="62">
        <v>51.333808691591514</v>
      </c>
      <c r="L13" s="62">
        <v>6.5996013680711343</v>
      </c>
      <c r="M13" s="62">
        <v>11.461263715082</v>
      </c>
      <c r="N13" s="62">
        <v>2.0543370397233187</v>
      </c>
      <c r="O13" s="62">
        <v>3.3703005620897137</v>
      </c>
      <c r="P13" s="62">
        <v>2.1748636039882863</v>
      </c>
    </row>
    <row r="14" spans="1:16" s="19" customFormat="1" ht="14.1" customHeight="1" x14ac:dyDescent="0.25">
      <c r="A14" s="37"/>
      <c r="B14" s="38" t="s">
        <v>27</v>
      </c>
      <c r="C14" s="36"/>
      <c r="D14" s="100">
        <v>4082.867595232331</v>
      </c>
      <c r="E14" s="101">
        <v>3084.5769542256307</v>
      </c>
      <c r="F14" s="102">
        <v>1.7976443111750195</v>
      </c>
      <c r="G14" s="102">
        <v>2.3794328411212526</v>
      </c>
      <c r="H14" s="61">
        <v>100</v>
      </c>
      <c r="I14" s="62">
        <v>24.450722873610545</v>
      </c>
      <c r="J14" s="62">
        <v>3.9326129285796236</v>
      </c>
      <c r="K14" s="62">
        <v>54.183983978750497</v>
      </c>
      <c r="L14" s="62">
        <v>8.4727770705790721</v>
      </c>
      <c r="M14" s="62">
        <v>5.8718648774146205</v>
      </c>
      <c r="N14" s="62">
        <v>1.5543993558212872</v>
      </c>
      <c r="O14" s="62">
        <v>0.98816008939572386</v>
      </c>
      <c r="P14" s="62">
        <v>0.54547882584876983</v>
      </c>
    </row>
    <row r="15" spans="1:16" s="19" customFormat="1" ht="14.1" customHeight="1" x14ac:dyDescent="0.25">
      <c r="A15" s="37"/>
      <c r="B15" s="38" t="s">
        <v>28</v>
      </c>
      <c r="C15" s="36"/>
      <c r="D15" s="100">
        <v>2740.293166317872</v>
      </c>
      <c r="E15" s="101">
        <v>2138.8136259029334</v>
      </c>
      <c r="F15" s="102">
        <v>2.2449847475259137</v>
      </c>
      <c r="G15" s="102">
        <v>2.8763218485369371</v>
      </c>
      <c r="H15" s="61">
        <v>100</v>
      </c>
      <c r="I15" s="62">
        <v>21.949459561771963</v>
      </c>
      <c r="J15" s="62">
        <v>1.6167129685014503</v>
      </c>
      <c r="K15" s="62">
        <v>46.988543699668007</v>
      </c>
      <c r="L15" s="62">
        <v>7.6860330345168144</v>
      </c>
      <c r="M15" s="62">
        <v>13.802024512262676</v>
      </c>
      <c r="N15" s="62">
        <v>2.4154834134640462</v>
      </c>
      <c r="O15" s="62">
        <v>2.8319411921465409</v>
      </c>
      <c r="P15" s="62">
        <v>2.7098016176688766</v>
      </c>
    </row>
    <row r="16" spans="1:16" s="19" customFormat="1" ht="14.1" customHeight="1" x14ac:dyDescent="0.25">
      <c r="A16" s="37"/>
      <c r="B16" s="38" t="s">
        <v>29</v>
      </c>
      <c r="C16" s="36"/>
      <c r="D16" s="100">
        <v>4037.8334641233828</v>
      </c>
      <c r="E16" s="101">
        <v>3125.0223193393726</v>
      </c>
      <c r="F16" s="102">
        <v>2.278646707251359</v>
      </c>
      <c r="G16" s="102">
        <v>2.9442336685131698</v>
      </c>
      <c r="H16" s="61">
        <v>100</v>
      </c>
      <c r="I16" s="62">
        <v>22.606458460816668</v>
      </c>
      <c r="J16" s="62">
        <v>0.57352794324441181</v>
      </c>
      <c r="K16" s="62">
        <v>46.553831247994424</v>
      </c>
      <c r="L16" s="62">
        <v>6.2848469456964722</v>
      </c>
      <c r="M16" s="62">
        <v>14.306012301703245</v>
      </c>
      <c r="N16" s="62">
        <v>3.3925373430062487</v>
      </c>
      <c r="O16" s="62">
        <v>3.9350304827128255</v>
      </c>
      <c r="P16" s="62">
        <v>2.3477552748256811</v>
      </c>
    </row>
    <row r="17" spans="1:16" s="19" customFormat="1" ht="14.1" customHeight="1" x14ac:dyDescent="0.25">
      <c r="A17" s="37"/>
      <c r="B17" s="38" t="s">
        <v>30</v>
      </c>
      <c r="C17" s="36"/>
      <c r="D17" s="100">
        <v>662.92572577318674</v>
      </c>
      <c r="E17" s="101">
        <v>488.62264718754921</v>
      </c>
      <c r="F17" s="102">
        <v>2.2640018397187016</v>
      </c>
      <c r="G17" s="102">
        <v>3.0716240259966288</v>
      </c>
      <c r="H17" s="61">
        <v>100</v>
      </c>
      <c r="I17" s="62">
        <v>26.293002641034484</v>
      </c>
      <c r="J17" s="62">
        <v>0.94528568231155841</v>
      </c>
      <c r="K17" s="62">
        <v>46.019469550762167</v>
      </c>
      <c r="L17" s="62">
        <v>3.8899313440928225</v>
      </c>
      <c r="M17" s="62">
        <v>13.151484489006089</v>
      </c>
      <c r="N17" s="62">
        <v>1.7667743570917243</v>
      </c>
      <c r="O17" s="62">
        <v>2.9254530271444161</v>
      </c>
      <c r="P17" s="62">
        <v>5.0085989085571772</v>
      </c>
    </row>
    <row r="18" spans="1:16" s="19" customFormat="1" ht="14.1" customHeight="1" x14ac:dyDescent="0.25">
      <c r="A18" s="37"/>
      <c r="B18" s="38" t="s">
        <v>31</v>
      </c>
      <c r="C18" s="36"/>
      <c r="D18" s="100">
        <v>837.20173510160305</v>
      </c>
      <c r="E18" s="101">
        <v>652.14225563768071</v>
      </c>
      <c r="F18" s="102">
        <v>2.0749996565762916</v>
      </c>
      <c r="G18" s="102">
        <v>2.6638257187034005</v>
      </c>
      <c r="H18" s="61">
        <v>100</v>
      </c>
      <c r="I18" s="62">
        <v>22.104526508352237</v>
      </c>
      <c r="J18" s="62">
        <v>1.7389834756589959</v>
      </c>
      <c r="K18" s="62">
        <v>53.006373135915311</v>
      </c>
      <c r="L18" s="62">
        <v>5.7320622805132091</v>
      </c>
      <c r="M18" s="62">
        <v>10.46997219388828</v>
      </c>
      <c r="N18" s="62">
        <v>3.4270947784084602</v>
      </c>
      <c r="O18" s="62">
        <v>2.318538867379897</v>
      </c>
      <c r="P18" s="62">
        <v>1.2024487598831006</v>
      </c>
    </row>
    <row r="19" spans="1:16" s="19" customFormat="1" ht="14.1" customHeight="1" x14ac:dyDescent="0.25">
      <c r="A19" s="37"/>
      <c r="B19" s="38" t="s">
        <v>32</v>
      </c>
      <c r="C19" s="36"/>
      <c r="D19" s="100">
        <v>784.81580450818956</v>
      </c>
      <c r="E19" s="101">
        <v>577.52162039788959</v>
      </c>
      <c r="F19" s="102">
        <v>2.1160765216535369</v>
      </c>
      <c r="G19" s="102">
        <v>2.8756158022243987</v>
      </c>
      <c r="H19" s="61">
        <v>100</v>
      </c>
      <c r="I19" s="62">
        <v>26.413100108273674</v>
      </c>
      <c r="J19" s="62">
        <v>1.40444232965042</v>
      </c>
      <c r="K19" s="62">
        <v>46.741652284714398</v>
      </c>
      <c r="L19" s="62">
        <v>6.7126882480243593</v>
      </c>
      <c r="M19" s="62">
        <v>9.7199601723434004</v>
      </c>
      <c r="N19" s="62">
        <v>2.8413156676543401</v>
      </c>
      <c r="O19" s="62">
        <v>3.3617645301782271</v>
      </c>
      <c r="P19" s="62">
        <v>2.8050766591614296</v>
      </c>
    </row>
    <row r="20" spans="1:16" s="19" customFormat="1" ht="14.1" customHeight="1" x14ac:dyDescent="0.25">
      <c r="A20" s="37"/>
      <c r="B20" s="38" t="s">
        <v>33</v>
      </c>
      <c r="C20" s="36"/>
      <c r="D20" s="100">
        <v>1775.9602684124147</v>
      </c>
      <c r="E20" s="101">
        <v>1308.2402233263022</v>
      </c>
      <c r="F20" s="102">
        <v>1.7074053021402813</v>
      </c>
      <c r="G20" s="102">
        <v>2.3178342361068958</v>
      </c>
      <c r="H20" s="61">
        <v>100</v>
      </c>
      <c r="I20" s="62">
        <v>26.336177301096075</v>
      </c>
      <c r="J20" s="62">
        <v>4.555935571025401</v>
      </c>
      <c r="K20" s="62">
        <v>53.555618893958474</v>
      </c>
      <c r="L20" s="62">
        <v>8.2933382389378156</v>
      </c>
      <c r="M20" s="62">
        <v>4.5699746390764782</v>
      </c>
      <c r="N20" s="62">
        <v>0.95162224419915209</v>
      </c>
      <c r="O20" s="62">
        <v>1.3295082108187899</v>
      </c>
      <c r="P20" s="62">
        <v>0.40782490088807144</v>
      </c>
    </row>
    <row r="21" spans="1:16" s="19" customFormat="1" ht="14.1" customHeight="1" x14ac:dyDescent="0.25">
      <c r="A21" s="37"/>
      <c r="B21" s="38" t="s">
        <v>34</v>
      </c>
      <c r="C21" s="36"/>
      <c r="D21" s="100">
        <v>705.41404513386442</v>
      </c>
      <c r="E21" s="101">
        <v>508.99962914017777</v>
      </c>
      <c r="F21" s="102">
        <v>2.1074773246710046</v>
      </c>
      <c r="G21" s="102">
        <v>2.9207174612982838</v>
      </c>
      <c r="H21" s="61">
        <v>100</v>
      </c>
      <c r="I21" s="62">
        <v>27.843848212069105</v>
      </c>
      <c r="J21" s="62">
        <v>0.77395404478435359</v>
      </c>
      <c r="K21" s="62">
        <v>42.985323807588088</v>
      </c>
      <c r="L21" s="62">
        <v>6.9605754266699629</v>
      </c>
      <c r="M21" s="62">
        <v>13.150013648727214</v>
      </c>
      <c r="N21" s="62">
        <v>2.224987953577509</v>
      </c>
      <c r="O21" s="62">
        <v>4.6552822353572685</v>
      </c>
      <c r="P21" s="62">
        <v>1.4060146712267068</v>
      </c>
    </row>
    <row r="22" spans="1:16" s="19" customFormat="1" ht="14.1" customHeight="1" x14ac:dyDescent="0.25">
      <c r="A22" s="37"/>
      <c r="B22" s="38" t="s">
        <v>35</v>
      </c>
      <c r="C22" s="36"/>
      <c r="D22" s="100">
        <v>978.05836046228183</v>
      </c>
      <c r="E22" s="101">
        <v>696.44176415866764</v>
      </c>
      <c r="F22" s="102">
        <v>2.0887048252745917</v>
      </c>
      <c r="G22" s="102">
        <v>2.9333037190347242</v>
      </c>
      <c r="H22" s="61">
        <v>100</v>
      </c>
      <c r="I22" s="62">
        <v>28.793434797746379</v>
      </c>
      <c r="J22" s="62">
        <v>1.2321992277438856</v>
      </c>
      <c r="K22" s="62">
        <v>43.343888100975036</v>
      </c>
      <c r="L22" s="62">
        <v>5.6435882402381354</v>
      </c>
      <c r="M22" s="62">
        <v>13.473768861093282</v>
      </c>
      <c r="N22" s="62">
        <v>1.5075605529969678</v>
      </c>
      <c r="O22" s="62">
        <v>3.1614230766068872</v>
      </c>
      <c r="P22" s="62">
        <v>2.8441371425995396</v>
      </c>
    </row>
    <row r="23" spans="1:16" s="19" customFormat="1" ht="14.1" customHeight="1" x14ac:dyDescent="0.25">
      <c r="A23" s="37"/>
      <c r="B23" s="38" t="s">
        <v>36</v>
      </c>
      <c r="C23" s="36"/>
      <c r="D23" s="100">
        <v>728.88267633203054</v>
      </c>
      <c r="E23" s="101">
        <v>518.9938304308987</v>
      </c>
      <c r="F23" s="102">
        <v>1.9395184211542373</v>
      </c>
      <c r="G23" s="102">
        <v>2.7238885988923123</v>
      </c>
      <c r="H23" s="61">
        <v>100</v>
      </c>
      <c r="I23" s="62">
        <v>28.795971247027126</v>
      </c>
      <c r="J23" s="62">
        <v>2.2763884036779367</v>
      </c>
      <c r="K23" s="62">
        <v>45.48279645153697</v>
      </c>
      <c r="L23" s="62">
        <v>4.5694652091567303</v>
      </c>
      <c r="M23" s="62">
        <v>12.313306761541712</v>
      </c>
      <c r="N23" s="62">
        <v>3.5020940687911608</v>
      </c>
      <c r="O23" s="62">
        <v>2.1400138681738432</v>
      </c>
      <c r="P23" s="62">
        <v>0.91996399009467511</v>
      </c>
    </row>
    <row r="24" spans="1:16" s="19" customFormat="1" ht="14.1" customHeight="1" x14ac:dyDescent="0.25">
      <c r="A24" s="37"/>
      <c r="B24" s="38" t="s">
        <v>37</v>
      </c>
      <c r="C24" s="36"/>
      <c r="D24" s="100">
        <v>1179.6142455826673</v>
      </c>
      <c r="E24" s="101">
        <v>812.41873127822464</v>
      </c>
      <c r="F24" s="102">
        <v>1.661992314433145</v>
      </c>
      <c r="G24" s="102">
        <v>2.413176524216353</v>
      </c>
      <c r="H24" s="61">
        <v>100</v>
      </c>
      <c r="I24" s="62">
        <v>31.128440138756478</v>
      </c>
      <c r="J24" s="62">
        <v>3.5159452798465014</v>
      </c>
      <c r="K24" s="62">
        <v>50.898503363719684</v>
      </c>
      <c r="L24" s="62">
        <v>4.8995740033297173</v>
      </c>
      <c r="M24" s="62">
        <v>5.1144594228958518</v>
      </c>
      <c r="N24" s="62">
        <v>2.1830871274022199</v>
      </c>
      <c r="O24" s="62">
        <v>1.3319561127421267</v>
      </c>
      <c r="P24" s="62">
        <v>0.92803455130757573</v>
      </c>
    </row>
    <row r="25" spans="1:16" s="19" customFormat="1" ht="14.1" customHeight="1" x14ac:dyDescent="0.25">
      <c r="A25" s="37"/>
      <c r="B25" s="38" t="s">
        <v>38</v>
      </c>
      <c r="C25" s="36"/>
      <c r="D25" s="100">
        <v>310.98593414410072</v>
      </c>
      <c r="E25" s="101">
        <v>201.74328950818625</v>
      </c>
      <c r="F25" s="102">
        <v>1.8551337820562241</v>
      </c>
      <c r="G25" s="102">
        <v>2.8596763420555975</v>
      </c>
      <c r="H25" s="61">
        <v>100</v>
      </c>
      <c r="I25" s="62">
        <v>35.127841050616183</v>
      </c>
      <c r="J25" s="62">
        <v>1.5991593031858424</v>
      </c>
      <c r="K25" s="62">
        <v>40.332345814440558</v>
      </c>
      <c r="L25" s="62">
        <v>5.4046401326732187</v>
      </c>
      <c r="M25" s="62">
        <v>10.026852968487864</v>
      </c>
      <c r="N25" s="62">
        <v>1.9370047283938192</v>
      </c>
      <c r="O25" s="62">
        <v>3.7940878916563157</v>
      </c>
      <c r="P25" s="62">
        <v>1.7780681105460292</v>
      </c>
    </row>
    <row r="26" spans="1:16" s="19" customFormat="1" ht="14.1" customHeight="1" x14ac:dyDescent="0.25">
      <c r="A26" s="37"/>
      <c r="B26" s="38" t="s">
        <v>39</v>
      </c>
      <c r="C26" s="36"/>
      <c r="D26" s="100">
        <v>466.47308886056038</v>
      </c>
      <c r="E26" s="101">
        <v>332.62720320349166</v>
      </c>
      <c r="F26" s="102">
        <v>2.1088442882609004</v>
      </c>
      <c r="G26" s="102">
        <v>2.9574223021957753</v>
      </c>
      <c r="H26" s="61">
        <v>100</v>
      </c>
      <c r="I26" s="62">
        <v>28.693163411422134</v>
      </c>
      <c r="J26" s="62">
        <v>0.99961205270079656</v>
      </c>
      <c r="K26" s="62">
        <v>39.608658855360218</v>
      </c>
      <c r="L26" s="62">
        <v>9.4663047308120447</v>
      </c>
      <c r="M26" s="62">
        <v>13.455080366286618</v>
      </c>
      <c r="N26" s="62">
        <v>3.148692912834075</v>
      </c>
      <c r="O26" s="62">
        <v>2.4148239009210637</v>
      </c>
      <c r="P26" s="62">
        <v>2.2136637696629653</v>
      </c>
    </row>
    <row r="27" spans="1:16" s="19" customFormat="1" ht="14.1" customHeight="1" x14ac:dyDescent="0.25">
      <c r="A27" s="37"/>
      <c r="B27" s="38" t="s">
        <v>40</v>
      </c>
      <c r="C27" s="36"/>
      <c r="D27" s="100">
        <v>162.01858172625484</v>
      </c>
      <c r="E27" s="101">
        <v>119.64192102222134</v>
      </c>
      <c r="F27" s="102">
        <v>1.7796048108735929</v>
      </c>
      <c r="G27" s="102">
        <v>2.4099332828115285</v>
      </c>
      <c r="H27" s="61">
        <v>100</v>
      </c>
      <c r="I27" s="62">
        <v>26.15543245257529</v>
      </c>
      <c r="J27" s="62">
        <v>2.603382208073</v>
      </c>
      <c r="K27" s="62">
        <v>54.64408640528989</v>
      </c>
      <c r="L27" s="62">
        <v>7.73326395186215</v>
      </c>
      <c r="M27" s="62">
        <v>4.8925299028128055</v>
      </c>
      <c r="N27" s="62">
        <v>0.98646615387503866</v>
      </c>
      <c r="O27" s="62">
        <v>2.7559454656936175</v>
      </c>
      <c r="P27" s="62">
        <v>0.22889345981678993</v>
      </c>
    </row>
    <row r="28" spans="1:16" s="19" customFormat="1" ht="14.1" customHeight="1" x14ac:dyDescent="0.25">
      <c r="A28" s="37"/>
      <c r="B28" s="38" t="s">
        <v>41</v>
      </c>
      <c r="C28" s="36"/>
      <c r="D28" s="100">
        <v>543.40044542669193</v>
      </c>
      <c r="E28" s="101">
        <v>400.46908408399605</v>
      </c>
      <c r="F28" s="102">
        <v>2.2099996718040997</v>
      </c>
      <c r="G28" s="102">
        <v>2.9987703265486179</v>
      </c>
      <c r="H28" s="61">
        <v>100</v>
      </c>
      <c r="I28" s="62">
        <v>26.303136581064539</v>
      </c>
      <c r="J28" s="62">
        <v>1.0969587029017784</v>
      </c>
      <c r="K28" s="62">
        <v>41.011482503923446</v>
      </c>
      <c r="L28" s="62">
        <v>8.7105300053626511</v>
      </c>
      <c r="M28" s="62">
        <v>13.765992203410471</v>
      </c>
      <c r="N28" s="62">
        <v>2.2329591807114517</v>
      </c>
      <c r="O28" s="62">
        <v>3.9121857188737348</v>
      </c>
      <c r="P28" s="62">
        <v>2.9667551037518152</v>
      </c>
    </row>
    <row r="29" spans="1:16" s="19" customFormat="1" ht="14.1" customHeight="1" x14ac:dyDescent="0.25">
      <c r="A29" s="37"/>
      <c r="B29" s="38" t="s">
        <v>42</v>
      </c>
      <c r="C29" s="36"/>
      <c r="D29" s="100">
        <v>641.70564585172906</v>
      </c>
      <c r="E29" s="101">
        <v>505.21698262989457</v>
      </c>
      <c r="F29" s="102">
        <v>2.3071407388360328</v>
      </c>
      <c r="G29" s="102">
        <v>2.9304344247869065</v>
      </c>
      <c r="H29" s="61">
        <v>100</v>
      </c>
      <c r="I29" s="62">
        <v>21.269668438193996</v>
      </c>
      <c r="J29" s="62">
        <v>3.3132796512022273</v>
      </c>
      <c r="K29" s="62">
        <v>47.207254319273247</v>
      </c>
      <c r="L29" s="62">
        <v>6.2551067345356248</v>
      </c>
      <c r="M29" s="62">
        <v>11.266230209755751</v>
      </c>
      <c r="N29" s="62">
        <v>2.1071606357651</v>
      </c>
      <c r="O29" s="62">
        <v>4.6444854229129922</v>
      </c>
      <c r="P29" s="62">
        <v>3.9368145883613268</v>
      </c>
    </row>
    <row r="30" spans="1:16" s="19" customFormat="1" ht="14.1" customHeight="1" x14ac:dyDescent="0.25">
      <c r="A30" s="37"/>
      <c r="B30" s="38" t="s">
        <v>43</v>
      </c>
      <c r="C30" s="36"/>
      <c r="D30" s="100">
        <v>382.26534175006776</v>
      </c>
      <c r="E30" s="101">
        <v>309.05604515771296</v>
      </c>
      <c r="F30" s="102">
        <v>2.5021360225678855</v>
      </c>
      <c r="G30" s="102">
        <v>3.0948428181819616</v>
      </c>
      <c r="H30" s="61">
        <v>100</v>
      </c>
      <c r="I30" s="62">
        <v>19.151434513313255</v>
      </c>
      <c r="J30" s="62">
        <v>0.65984679971060289</v>
      </c>
      <c r="K30" s="62">
        <v>40.493144365711075</v>
      </c>
      <c r="L30" s="62">
        <v>12.470113623139888</v>
      </c>
      <c r="M30" s="62">
        <v>16.214451642893305</v>
      </c>
      <c r="N30" s="62">
        <v>5.329192099027841</v>
      </c>
      <c r="O30" s="62">
        <v>2.8461963534405306</v>
      </c>
      <c r="P30" s="62">
        <v>2.8356206027640352</v>
      </c>
    </row>
    <row r="31" spans="1:16" s="19" customFormat="1" ht="14.1" customHeight="1" x14ac:dyDescent="0.25">
      <c r="A31" s="37"/>
      <c r="B31" s="38" t="s">
        <v>44</v>
      </c>
      <c r="C31" s="36"/>
      <c r="D31" s="100">
        <v>219.73693340495529</v>
      </c>
      <c r="E31" s="101">
        <v>164.06020251490511</v>
      </c>
      <c r="F31" s="102">
        <v>2.1115476903178974</v>
      </c>
      <c r="G31" s="102">
        <v>2.8281387386841566</v>
      </c>
      <c r="H31" s="61">
        <v>100</v>
      </c>
      <c r="I31" s="62">
        <v>25.337902931157458</v>
      </c>
      <c r="J31" s="62">
        <v>3.5663977246345766</v>
      </c>
      <c r="K31" s="62">
        <v>45.123079753019717</v>
      </c>
      <c r="L31" s="62">
        <v>6.9671840060581518</v>
      </c>
      <c r="M31" s="62">
        <v>10.583292302559205</v>
      </c>
      <c r="N31" s="62">
        <v>2.0359735031493003</v>
      </c>
      <c r="O31" s="62">
        <v>2.8678168954475396</v>
      </c>
      <c r="P31" s="62">
        <v>3.5183528839739742</v>
      </c>
    </row>
    <row r="32" spans="1:16" s="19" customFormat="1" ht="14.1" customHeight="1" x14ac:dyDescent="0.25">
      <c r="A32" s="37"/>
      <c r="B32" s="38" t="s">
        <v>45</v>
      </c>
      <c r="C32" s="36"/>
      <c r="D32" s="100">
        <v>20.84144647162276</v>
      </c>
      <c r="E32" s="101">
        <v>11.145790093045708</v>
      </c>
      <c r="F32" s="102">
        <v>1.4637166652818805</v>
      </c>
      <c r="G32" s="102">
        <v>2.7369950693875302</v>
      </c>
      <c r="H32" s="61">
        <v>100</v>
      </c>
      <c r="I32" s="62">
        <v>46.521033901262307</v>
      </c>
      <c r="J32" s="62">
        <v>1.5943615606932859</v>
      </c>
      <c r="K32" s="62">
        <v>36.81132648022281</v>
      </c>
      <c r="L32" s="62">
        <v>5.1622803595229589</v>
      </c>
      <c r="M32" s="62">
        <v>4.3877066882898514</v>
      </c>
      <c r="N32" s="62">
        <v>0.40138121213916733</v>
      </c>
      <c r="O32" s="62">
        <v>1.908070791832833</v>
      </c>
      <c r="P32" s="62">
        <v>3.2138390060369253</v>
      </c>
    </row>
    <row r="33" spans="1:16" s="19" customFormat="1" ht="14.1" customHeight="1" x14ac:dyDescent="0.25">
      <c r="A33" s="37" t="s">
        <v>232</v>
      </c>
      <c r="B33" s="38"/>
      <c r="C33" s="36" t="s">
        <v>92</v>
      </c>
      <c r="D33" s="59"/>
      <c r="E33" s="60"/>
      <c r="F33" s="102"/>
      <c r="G33" s="102"/>
      <c r="H33" s="61"/>
      <c r="I33" s="62"/>
      <c r="J33" s="62"/>
      <c r="K33" s="62"/>
      <c r="L33" s="62"/>
      <c r="M33" s="62"/>
      <c r="N33" s="62"/>
      <c r="O33" s="62"/>
      <c r="P33" s="62"/>
    </row>
    <row r="34" spans="1:16" s="19" customFormat="1" ht="14.1" customHeight="1" x14ac:dyDescent="0.25">
      <c r="A34" s="37"/>
      <c r="B34" s="38" t="s">
        <v>233</v>
      </c>
      <c r="C34" s="36"/>
      <c r="D34" s="100">
        <v>23835.699721057747</v>
      </c>
      <c r="E34" s="101">
        <v>18446.341468619892</v>
      </c>
      <c r="F34" s="102">
        <v>2.089084364209989</v>
      </c>
      <c r="G34" s="102">
        <v>2.6994397605603715</v>
      </c>
      <c r="H34" s="61">
        <f>$E11*H11/$E34+$E12*H12/$E34+$E13*H13/$E34+$E14*H14/$E34+$E15*H15/$E34+$E16*H16/$E34</f>
        <v>99.999999999999986</v>
      </c>
      <c r="I34" s="62">
        <v>22.610446999701761</v>
      </c>
      <c r="J34" s="62">
        <v>2.4590471521849562</v>
      </c>
      <c r="K34" s="62">
        <v>49.646597985620069</v>
      </c>
      <c r="L34" s="62">
        <v>8.3013509633252536</v>
      </c>
      <c r="M34" s="62">
        <v>10.179983075909862</v>
      </c>
      <c r="N34" s="62">
        <v>2.2919446544247331</v>
      </c>
      <c r="O34" s="62">
        <v>2.7790061565706474</v>
      </c>
      <c r="P34" s="62">
        <v>1.7316230122626022</v>
      </c>
    </row>
    <row r="35" spans="1:16" s="19" customFormat="1" ht="14.1" customHeight="1" x14ac:dyDescent="0.25">
      <c r="A35" s="37"/>
      <c r="B35" s="38" t="s">
        <v>234</v>
      </c>
      <c r="C35" s="36"/>
      <c r="D35" s="100">
        <v>10400.300278941946</v>
      </c>
      <c r="E35" s="101">
        <v>7607.3412197708012</v>
      </c>
      <c r="F35" s="102">
        <v>2.0014943976763395</v>
      </c>
      <c r="G35" s="102">
        <v>2.7363229992043316</v>
      </c>
      <c r="H35" s="61">
        <f>$E9*H9/$E35-$E34*H34/$E35</f>
        <v>100.000000000006</v>
      </c>
      <c r="I35" s="62">
        <v>26.854600196750336</v>
      </c>
      <c r="J35" s="62">
        <v>2.3086353169712694</v>
      </c>
      <c r="K35" s="62">
        <v>47.229516974596223</v>
      </c>
      <c r="L35" s="62">
        <v>6.6744897042103366</v>
      </c>
      <c r="M35" s="62">
        <v>10.019265789813108</v>
      </c>
      <c r="N35" s="62">
        <v>2.2520180335718578</v>
      </c>
      <c r="O35" s="62">
        <v>2.6926161855972444</v>
      </c>
      <c r="P35" s="62">
        <v>1.9688577984925424</v>
      </c>
    </row>
    <row r="36" spans="1:16" s="19" customFormat="1" ht="14.1" customHeight="1" x14ac:dyDescent="0.25">
      <c r="A36" s="37" t="s">
        <v>46</v>
      </c>
      <c r="B36" s="38"/>
      <c r="C36" s="36" t="s">
        <v>19</v>
      </c>
      <c r="D36" s="100"/>
      <c r="E36" s="101"/>
      <c r="F36" s="102"/>
      <c r="G36" s="102"/>
      <c r="H36" s="61"/>
      <c r="I36" s="62"/>
      <c r="J36" s="62"/>
      <c r="K36" s="62"/>
      <c r="L36" s="62"/>
      <c r="M36" s="62"/>
      <c r="N36" s="62"/>
      <c r="O36" s="62"/>
      <c r="P36" s="62"/>
    </row>
    <row r="37" spans="1:16" s="19" customFormat="1" ht="14.1" customHeight="1" x14ac:dyDescent="0.25">
      <c r="A37" s="37"/>
      <c r="B37" s="38" t="s">
        <v>47</v>
      </c>
      <c r="C37" s="36"/>
      <c r="D37" s="100">
        <v>16749.694852045657</v>
      </c>
      <c r="E37" s="101">
        <v>12952.34492652653</v>
      </c>
      <c r="F37" s="102">
        <v>2.0608845788845569</v>
      </c>
      <c r="G37" s="102">
        <v>2.6650917665809923</v>
      </c>
      <c r="H37" s="61">
        <v>100</v>
      </c>
      <c r="I37" s="62">
        <v>22.671158842367106</v>
      </c>
      <c r="J37" s="62">
        <v>2.664974921108211</v>
      </c>
      <c r="K37" s="62">
        <v>50.215438431312322</v>
      </c>
      <c r="L37" s="62">
        <v>8.2521515352219019</v>
      </c>
      <c r="M37" s="62">
        <v>9.9423796805472637</v>
      </c>
      <c r="N37" s="62">
        <v>1.9239811854607436</v>
      </c>
      <c r="O37" s="62">
        <v>2.7365274778090494</v>
      </c>
      <c r="P37" s="62">
        <v>1.5933879261728274</v>
      </c>
    </row>
    <row r="38" spans="1:16" s="19" customFormat="1" ht="14.1" customHeight="1" x14ac:dyDescent="0.25">
      <c r="A38" s="37"/>
      <c r="B38" s="38" t="s">
        <v>48</v>
      </c>
      <c r="C38" s="36"/>
      <c r="D38" s="100">
        <v>17486.305147954343</v>
      </c>
      <c r="E38" s="101">
        <v>13101.337761864164</v>
      </c>
      <c r="F38" s="102">
        <v>2.0640004971170338</v>
      </c>
      <c r="G38" s="102">
        <v>2.7548135292851565</v>
      </c>
      <c r="H38" s="61">
        <v>100</v>
      </c>
      <c r="I38" s="62">
        <v>25.076580495354953</v>
      </c>
      <c r="J38" s="62">
        <v>2.172333892846487</v>
      </c>
      <c r="K38" s="62">
        <v>47.66411672930375</v>
      </c>
      <c r="L38" s="62">
        <v>7.3808723337256845</v>
      </c>
      <c r="M38" s="62">
        <v>10.311987882710172</v>
      </c>
      <c r="N38" s="62">
        <v>2.6206605796712581</v>
      </c>
      <c r="O38" s="62">
        <v>2.7683134041191497</v>
      </c>
      <c r="P38" s="62">
        <v>2.0051346822685989</v>
      </c>
    </row>
    <row r="39" spans="1:16" s="19" customFormat="1" ht="14.1" customHeight="1" x14ac:dyDescent="0.25">
      <c r="A39" s="37" t="s">
        <v>49</v>
      </c>
      <c r="B39" s="38"/>
      <c r="C39" s="36" t="s">
        <v>19</v>
      </c>
      <c r="D39" s="100"/>
      <c r="E39" s="101"/>
      <c r="F39" s="102"/>
      <c r="G39" s="102"/>
      <c r="H39" s="61"/>
      <c r="I39" s="62"/>
      <c r="J39" s="62"/>
      <c r="K39" s="62"/>
      <c r="L39" s="62"/>
      <c r="M39" s="62"/>
      <c r="N39" s="62"/>
      <c r="O39" s="62"/>
      <c r="P39" s="62"/>
    </row>
    <row r="40" spans="1:16" s="19" customFormat="1" ht="14.1" customHeight="1" x14ac:dyDescent="0.25">
      <c r="A40" s="37"/>
      <c r="B40" s="38" t="s">
        <v>107</v>
      </c>
      <c r="C40" s="36"/>
      <c r="D40" s="100">
        <v>990.8974962064251</v>
      </c>
      <c r="E40" s="101">
        <v>805.83326628482916</v>
      </c>
      <c r="F40" s="102">
        <v>2.2326151287428897</v>
      </c>
      <c r="G40" s="102">
        <v>2.7453479939632572</v>
      </c>
      <c r="H40" s="61">
        <v>100</v>
      </c>
      <c r="I40" s="62">
        <v>18.67642522360789</v>
      </c>
      <c r="J40" s="62">
        <v>0.87194461248512678</v>
      </c>
      <c r="K40" s="62">
        <v>51.380045732668755</v>
      </c>
      <c r="L40" s="62">
        <v>10.095411561802957</v>
      </c>
      <c r="M40" s="62">
        <v>12.837686308153144</v>
      </c>
      <c r="N40" s="62">
        <v>0.7669552384676277</v>
      </c>
      <c r="O40" s="62">
        <v>4.1175495604856911</v>
      </c>
      <c r="P40" s="62">
        <v>1.2539817623287686</v>
      </c>
    </row>
    <row r="41" spans="1:16" s="19" customFormat="1" ht="14.1" customHeight="1" x14ac:dyDescent="0.25">
      <c r="A41" s="37"/>
      <c r="B41" s="38" t="s">
        <v>108</v>
      </c>
      <c r="C41" s="36"/>
      <c r="D41" s="100">
        <v>687.19908966432342</v>
      </c>
      <c r="E41" s="101">
        <v>455.60655500203745</v>
      </c>
      <c r="F41" s="102">
        <v>1.8111085238326103</v>
      </c>
      <c r="G41" s="102">
        <v>2.7317256856752219</v>
      </c>
      <c r="H41" s="61">
        <v>100</v>
      </c>
      <c r="I41" s="62">
        <v>33.700937347779991</v>
      </c>
      <c r="J41" s="62">
        <v>3.3420990899683232</v>
      </c>
      <c r="K41" s="62">
        <v>40.958027078532325</v>
      </c>
      <c r="L41" s="62">
        <v>8.0496740694421192</v>
      </c>
      <c r="M41" s="62">
        <v>6.7623092073297224</v>
      </c>
      <c r="N41" s="62">
        <v>2.1970013457255066</v>
      </c>
      <c r="O41" s="62">
        <v>2.5038669302657546</v>
      </c>
      <c r="P41" s="62">
        <v>2.4860849309565807</v>
      </c>
    </row>
    <row r="42" spans="1:16" s="19" customFormat="1" ht="14.1" customHeight="1" x14ac:dyDescent="0.25">
      <c r="A42" s="37"/>
      <c r="B42" s="38" t="s">
        <v>109</v>
      </c>
      <c r="C42" s="36"/>
      <c r="D42" s="100">
        <v>4595.9785250585546</v>
      </c>
      <c r="E42" s="101">
        <v>3652.6169779652787</v>
      </c>
      <c r="F42" s="102">
        <v>2.1109519327537942</v>
      </c>
      <c r="G42" s="102">
        <v>2.6561475810069219</v>
      </c>
      <c r="H42" s="61">
        <v>100</v>
      </c>
      <c r="I42" s="62">
        <v>20.525804068705689</v>
      </c>
      <c r="J42" s="62">
        <v>4.2743113831746955</v>
      </c>
      <c r="K42" s="62">
        <v>48.955025659570772</v>
      </c>
      <c r="L42" s="62">
        <v>9.4844511537686831</v>
      </c>
      <c r="M42" s="62">
        <v>9.6754854215704693</v>
      </c>
      <c r="N42" s="62">
        <v>3.1475220252209746</v>
      </c>
      <c r="O42" s="62">
        <v>2.4869065120052243</v>
      </c>
      <c r="P42" s="62">
        <v>1.4504937759837577</v>
      </c>
    </row>
    <row r="43" spans="1:16" s="19" customFormat="1" ht="14.1" customHeight="1" x14ac:dyDescent="0.25">
      <c r="A43" s="37"/>
      <c r="B43" s="38" t="s">
        <v>110</v>
      </c>
      <c r="C43" s="36"/>
      <c r="D43" s="100">
        <v>5316.0289939355107</v>
      </c>
      <c r="E43" s="101">
        <v>4538.9774809830633</v>
      </c>
      <c r="F43" s="102">
        <v>2.3289522533704283</v>
      </c>
      <c r="G43" s="102">
        <v>2.7276578824813158</v>
      </c>
      <c r="H43" s="61">
        <v>100</v>
      </c>
      <c r="I43" s="62">
        <v>14.617142115644874</v>
      </c>
      <c r="J43" s="62">
        <v>1.7146021007764911</v>
      </c>
      <c r="K43" s="62">
        <v>55.837812488888517</v>
      </c>
      <c r="L43" s="62">
        <v>9.9568837714422127</v>
      </c>
      <c r="M43" s="62">
        <v>9.9461406740206542</v>
      </c>
      <c r="N43" s="62">
        <v>2.6442914618618021</v>
      </c>
      <c r="O43" s="62">
        <v>2.7550522462987304</v>
      </c>
      <c r="P43" s="62">
        <v>2.5280751410667164</v>
      </c>
    </row>
    <row r="44" spans="1:16" s="19" customFormat="1" ht="14.1" customHeight="1" x14ac:dyDescent="0.25">
      <c r="A44" s="37"/>
      <c r="B44" s="38" t="s">
        <v>111</v>
      </c>
      <c r="C44" s="36"/>
      <c r="D44" s="100">
        <v>6474.5930995165245</v>
      </c>
      <c r="E44" s="101">
        <v>5504.1238743651993</v>
      </c>
      <c r="F44" s="102">
        <v>2.3918438390079948</v>
      </c>
      <c r="G44" s="102">
        <v>2.8135659677442</v>
      </c>
      <c r="H44" s="61">
        <v>100</v>
      </c>
      <c r="I44" s="62">
        <v>14.988883629209038</v>
      </c>
      <c r="J44" s="62">
        <v>2.0746399099380688</v>
      </c>
      <c r="K44" s="62">
        <v>53.957248397308831</v>
      </c>
      <c r="L44" s="62">
        <v>8.147648565658475</v>
      </c>
      <c r="M44" s="62">
        <v>11.526069991135182</v>
      </c>
      <c r="N44" s="62">
        <v>2.5653572446305399</v>
      </c>
      <c r="O44" s="62">
        <v>4.0860442339002345</v>
      </c>
      <c r="P44" s="62">
        <v>2.6541080282198912</v>
      </c>
    </row>
    <row r="45" spans="1:16" s="19" customFormat="1" ht="14.1" customHeight="1" x14ac:dyDescent="0.25">
      <c r="A45" s="37"/>
      <c r="B45" s="38" t="s">
        <v>112</v>
      </c>
      <c r="C45" s="36"/>
      <c r="D45" s="100">
        <v>5835.4025813818816</v>
      </c>
      <c r="E45" s="101">
        <v>4731.8354863738859</v>
      </c>
      <c r="F45" s="102">
        <v>2.2109647552475424</v>
      </c>
      <c r="G45" s="102">
        <v>2.7266098910811598</v>
      </c>
      <c r="H45" s="61">
        <v>100</v>
      </c>
      <c r="I45" s="62">
        <v>18.911584584222847</v>
      </c>
      <c r="J45" s="62">
        <v>2.14514246022696</v>
      </c>
      <c r="K45" s="62">
        <v>51.992994271742894</v>
      </c>
      <c r="L45" s="62">
        <v>7.6863676953940985</v>
      </c>
      <c r="M45" s="62">
        <v>11.917523524946013</v>
      </c>
      <c r="N45" s="62">
        <v>2.7153252071058858</v>
      </c>
      <c r="O45" s="62">
        <v>2.9294523589257513</v>
      </c>
      <c r="P45" s="62">
        <v>1.7016098974343092</v>
      </c>
    </row>
    <row r="46" spans="1:16" s="19" customFormat="1" ht="14.1" customHeight="1" x14ac:dyDescent="0.25">
      <c r="A46" s="37"/>
      <c r="B46" s="38" t="s">
        <v>113</v>
      </c>
      <c r="C46" s="36"/>
      <c r="D46" s="100">
        <v>2922.424300885169</v>
      </c>
      <c r="E46" s="101">
        <v>2115.8018574368152</v>
      </c>
      <c r="F46" s="102">
        <v>1.9441488837108589</v>
      </c>
      <c r="G46" s="102">
        <v>2.6853308226028254</v>
      </c>
      <c r="H46" s="61">
        <v>100</v>
      </c>
      <c r="I46" s="62">
        <v>27.60114071060892</v>
      </c>
      <c r="J46" s="62">
        <v>2.4639550910350398</v>
      </c>
      <c r="K46" s="62">
        <v>47.132472372159235</v>
      </c>
      <c r="L46" s="62">
        <v>6.904801606016294</v>
      </c>
      <c r="M46" s="62">
        <v>10.119680432508046</v>
      </c>
      <c r="N46" s="62">
        <v>2.0979649262430486</v>
      </c>
      <c r="O46" s="62">
        <v>1.5977791524759495</v>
      </c>
      <c r="P46" s="62">
        <v>2.0822057089533961</v>
      </c>
    </row>
    <row r="47" spans="1:16" s="19" customFormat="1" ht="14.1" customHeight="1" x14ac:dyDescent="0.25">
      <c r="A47" s="37"/>
      <c r="B47" s="38" t="s">
        <v>114</v>
      </c>
      <c r="C47" s="36"/>
      <c r="D47" s="100">
        <v>7413.4759133515799</v>
      </c>
      <c r="E47" s="101">
        <v>4248.8871899796668</v>
      </c>
      <c r="F47" s="102">
        <v>1.4840090054966522</v>
      </c>
      <c r="G47" s="102">
        <v>2.5893050404802374</v>
      </c>
      <c r="H47" s="61">
        <v>100</v>
      </c>
      <c r="I47" s="62">
        <v>42.686976532459994</v>
      </c>
      <c r="J47" s="62">
        <v>2.3676418368088172</v>
      </c>
      <c r="K47" s="62">
        <v>38.197985063098685</v>
      </c>
      <c r="L47" s="62">
        <v>5.050805311558145</v>
      </c>
      <c r="M47" s="62">
        <v>7.8770138436349599</v>
      </c>
      <c r="N47" s="62">
        <v>1.1699153891746155</v>
      </c>
      <c r="O47" s="62">
        <v>1.9083822288179051</v>
      </c>
      <c r="P47" s="62">
        <v>0.74127979444702707</v>
      </c>
    </row>
    <row r="48" spans="1:16" s="19" customFormat="1" ht="14.1" customHeight="1" x14ac:dyDescent="0.25">
      <c r="A48" s="37" t="s">
        <v>50</v>
      </c>
      <c r="B48" s="38"/>
      <c r="C48" s="36" t="s">
        <v>19</v>
      </c>
      <c r="D48" s="100"/>
      <c r="E48" s="101"/>
      <c r="F48" s="102"/>
      <c r="G48" s="102"/>
      <c r="H48" s="61"/>
      <c r="I48" s="62"/>
      <c r="J48" s="62"/>
      <c r="K48" s="62"/>
      <c r="L48" s="62"/>
      <c r="M48" s="62"/>
      <c r="N48" s="62"/>
      <c r="O48" s="62"/>
      <c r="P48" s="62"/>
    </row>
    <row r="49" spans="1:16" s="19" customFormat="1" ht="14.1" customHeight="1" x14ac:dyDescent="0.25">
      <c r="A49" s="37"/>
      <c r="B49" s="38" t="s">
        <v>3</v>
      </c>
      <c r="C49" s="36"/>
      <c r="D49" s="100">
        <v>3395.0961114952684</v>
      </c>
      <c r="E49" s="101">
        <v>1575.0149159381763</v>
      </c>
      <c r="F49" s="102">
        <v>1.1153004572939562</v>
      </c>
      <c r="G49" s="102">
        <v>2.4041373877733094</v>
      </c>
      <c r="H49" s="61">
        <v>100</v>
      </c>
      <c r="I49" s="62">
        <v>53.609121385240627</v>
      </c>
      <c r="J49" s="62">
        <v>1.8025093348356345</v>
      </c>
      <c r="K49" s="62">
        <v>34.259249433812592</v>
      </c>
      <c r="L49" s="62">
        <v>3.0941533380078052</v>
      </c>
      <c r="M49" s="62">
        <v>5.6693604429420947</v>
      </c>
      <c r="N49" s="62">
        <v>0.48931579636713213</v>
      </c>
      <c r="O49" s="62">
        <v>0.87544494858185962</v>
      </c>
      <c r="P49" s="62">
        <v>0.20084532021207591</v>
      </c>
    </row>
    <row r="50" spans="1:16" s="19" customFormat="1" ht="14.1" customHeight="1" x14ac:dyDescent="0.25">
      <c r="A50" s="37"/>
      <c r="B50" s="38" t="s">
        <v>115</v>
      </c>
      <c r="C50" s="36"/>
      <c r="D50" s="100">
        <v>3014.9642279020204</v>
      </c>
      <c r="E50" s="101">
        <v>1946.0664132302941</v>
      </c>
      <c r="F50" s="102">
        <v>1.6330014658975009</v>
      </c>
      <c r="G50" s="102">
        <v>2.5299450061522104</v>
      </c>
      <c r="H50" s="61">
        <v>100</v>
      </c>
      <c r="I50" s="62">
        <v>35.453084477076409</v>
      </c>
      <c r="J50" s="62">
        <v>2.5904505145907506</v>
      </c>
      <c r="K50" s="62">
        <v>45.108214956979005</v>
      </c>
      <c r="L50" s="62">
        <v>4.7529550630955821</v>
      </c>
      <c r="M50" s="62">
        <v>8.285160339851128</v>
      </c>
      <c r="N50" s="62">
        <v>1.0308261574841791</v>
      </c>
      <c r="O50" s="62">
        <v>1.9450877389164893</v>
      </c>
      <c r="P50" s="62">
        <v>0.83422075200692847</v>
      </c>
    </row>
    <row r="51" spans="1:16" s="19" customFormat="1" ht="14.1" customHeight="1" x14ac:dyDescent="0.25">
      <c r="A51" s="37"/>
      <c r="B51" s="38" t="s">
        <v>116</v>
      </c>
      <c r="C51" s="36"/>
      <c r="D51" s="100">
        <v>9553.0689204173286</v>
      </c>
      <c r="E51" s="101">
        <v>7078.3814548820319</v>
      </c>
      <c r="F51" s="102">
        <v>1.9304325208891986</v>
      </c>
      <c r="G51" s="102">
        <v>2.605334995834415</v>
      </c>
      <c r="H51" s="61">
        <v>100</v>
      </c>
      <c r="I51" s="62">
        <v>25.904633224683874</v>
      </c>
      <c r="J51" s="62">
        <v>2.5124598031778742</v>
      </c>
      <c r="K51" s="62">
        <v>49.678604259526701</v>
      </c>
      <c r="L51" s="62">
        <v>7.1749080714210169</v>
      </c>
      <c r="M51" s="62">
        <v>9.6808781754410926</v>
      </c>
      <c r="N51" s="62">
        <v>1.6801895545597145</v>
      </c>
      <c r="O51" s="62">
        <v>2.2506919733793058</v>
      </c>
      <c r="P51" s="62">
        <v>1.1176349378112729</v>
      </c>
    </row>
    <row r="52" spans="1:16" s="19" customFormat="1" ht="14.1" customHeight="1" x14ac:dyDescent="0.25">
      <c r="A52" s="37"/>
      <c r="B52" s="38" t="s">
        <v>51</v>
      </c>
      <c r="C52" s="36"/>
      <c r="D52" s="100">
        <v>3577.9049601334741</v>
      </c>
      <c r="E52" s="101">
        <v>2886.6803105859635</v>
      </c>
      <c r="F52" s="102">
        <v>2.2141610610014859</v>
      </c>
      <c r="G52" s="102">
        <v>2.7443488680197925</v>
      </c>
      <c r="H52" s="61">
        <v>100</v>
      </c>
      <c r="I52" s="62">
        <v>19.319256862589501</v>
      </c>
      <c r="J52" s="62">
        <v>2.718106651507294</v>
      </c>
      <c r="K52" s="62">
        <v>51.066154606498621</v>
      </c>
      <c r="L52" s="62">
        <v>7.7005701751392506</v>
      </c>
      <c r="M52" s="62">
        <v>10.95745831754992</v>
      </c>
      <c r="N52" s="62">
        <v>3.2946467804749404</v>
      </c>
      <c r="O52" s="62">
        <v>3.0522257035359344</v>
      </c>
      <c r="P52" s="62">
        <v>1.8915809027047716</v>
      </c>
    </row>
    <row r="53" spans="1:16" s="19" customFormat="1" ht="14.1" customHeight="1" x14ac:dyDescent="0.25">
      <c r="A53" s="37"/>
      <c r="B53" s="38" t="s">
        <v>52</v>
      </c>
      <c r="C53" s="36"/>
      <c r="D53" s="100">
        <v>11326.63878201431</v>
      </c>
      <c r="E53" s="101">
        <v>9515.6769203641361</v>
      </c>
      <c r="F53" s="102">
        <v>2.3214834948204488</v>
      </c>
      <c r="G53" s="102">
        <v>2.7632931639332279</v>
      </c>
      <c r="H53" s="61">
        <v>100</v>
      </c>
      <c r="I53" s="62">
        <v>15.988519599704393</v>
      </c>
      <c r="J53" s="62">
        <v>2.4644556349716695</v>
      </c>
      <c r="K53" s="62">
        <v>52.515139402768128</v>
      </c>
      <c r="L53" s="62">
        <v>9.4340295114566342</v>
      </c>
      <c r="M53" s="62">
        <v>11.038335698785318</v>
      </c>
      <c r="N53" s="62">
        <v>2.8717103543144931</v>
      </c>
      <c r="O53" s="62">
        <v>3.4004862549195298</v>
      </c>
      <c r="P53" s="62">
        <v>2.2873235430787924</v>
      </c>
    </row>
    <row r="54" spans="1:16" s="19" customFormat="1" ht="14.1" customHeight="1" x14ac:dyDescent="0.25">
      <c r="A54" s="37"/>
      <c r="B54" s="38" t="s">
        <v>4</v>
      </c>
      <c r="C54" s="36"/>
      <c r="D54" s="100">
        <v>3288.1950600220534</v>
      </c>
      <c r="E54" s="101">
        <v>3023.5309191682545</v>
      </c>
      <c r="F54" s="102">
        <v>2.7919131997574631</v>
      </c>
      <c r="G54" s="102">
        <v>3.0363027324285756</v>
      </c>
      <c r="H54" s="61">
        <v>100</v>
      </c>
      <c r="I54" s="62">
        <v>8.0489185106927579</v>
      </c>
      <c r="J54" s="62">
        <v>2.1079600749151539</v>
      </c>
      <c r="K54" s="62">
        <v>51.064535497415953</v>
      </c>
      <c r="L54" s="62">
        <v>11.913157457204722</v>
      </c>
      <c r="M54" s="62">
        <v>13.923087605807822</v>
      </c>
      <c r="N54" s="62">
        <v>3.9215102274845197</v>
      </c>
      <c r="O54" s="62">
        <v>4.4003821738577171</v>
      </c>
      <c r="P54" s="62">
        <v>4.6204484526213667</v>
      </c>
    </row>
    <row r="55" spans="1:16" s="19" customFormat="1" ht="14.1" customHeight="1" x14ac:dyDescent="0.25">
      <c r="A55" s="37"/>
      <c r="B55" s="38" t="s">
        <v>117</v>
      </c>
      <c r="C55" s="36"/>
      <c r="D55" s="100">
        <v>80.131938015518415</v>
      </c>
      <c r="E55" s="101">
        <v>28.331754221888225</v>
      </c>
      <c r="F55" s="102">
        <v>0.7782683797682004</v>
      </c>
      <c r="G55" s="102">
        <v>2.2012104537756714</v>
      </c>
      <c r="H55" s="61">
        <v>100</v>
      </c>
      <c r="I55" s="62">
        <v>64.643617858834972</v>
      </c>
      <c r="J55" s="62">
        <v>1.5173771830546026</v>
      </c>
      <c r="K55" s="62">
        <v>27.78311834459182</v>
      </c>
      <c r="L55" s="62">
        <v>4.0849997969279865</v>
      </c>
      <c r="M55" s="62">
        <v>1.5848477846753859</v>
      </c>
      <c r="N55" s="62">
        <v>0.27671982415533442</v>
      </c>
      <c r="O55" s="62">
        <v>0</v>
      </c>
      <c r="P55" s="62">
        <v>0.10931920775994541</v>
      </c>
    </row>
    <row r="56" spans="1:16" s="127" customFormat="1" ht="5.0999999999999996" customHeight="1" x14ac:dyDescent="0.25">
      <c r="A56" s="39"/>
      <c r="B56" s="125"/>
      <c r="C56" s="82"/>
      <c r="D56" s="114"/>
      <c r="E56" s="115"/>
      <c r="F56" s="116"/>
      <c r="G56" s="116"/>
      <c r="H56" s="117"/>
      <c r="I56" s="118"/>
      <c r="J56" s="118"/>
      <c r="K56" s="118"/>
      <c r="L56" s="118"/>
      <c r="M56" s="118"/>
      <c r="N56" s="118"/>
      <c r="O56" s="118"/>
      <c r="P56" s="118"/>
    </row>
    <row r="57" spans="1:16" s="19" customFormat="1" ht="12.95" customHeight="1" x14ac:dyDescent="0.25">
      <c r="A57" s="37" t="s">
        <v>53</v>
      </c>
      <c r="B57" s="38"/>
      <c r="C57" s="36" t="s">
        <v>19</v>
      </c>
      <c r="D57" s="100"/>
      <c r="E57" s="101"/>
      <c r="F57" s="102"/>
      <c r="G57" s="102"/>
      <c r="H57" s="61"/>
      <c r="I57" s="62"/>
      <c r="J57" s="62"/>
      <c r="K57" s="62"/>
      <c r="L57" s="62"/>
      <c r="M57" s="62"/>
      <c r="N57" s="62"/>
      <c r="O57" s="62"/>
      <c r="P57" s="62"/>
    </row>
    <row r="58" spans="1:16" s="19" customFormat="1" ht="12.95" customHeight="1" x14ac:dyDescent="0.25">
      <c r="A58" s="37"/>
      <c r="B58" s="38" t="s">
        <v>54</v>
      </c>
      <c r="C58" s="36"/>
      <c r="D58" s="100">
        <v>858.63851625481266</v>
      </c>
      <c r="E58" s="101">
        <v>649.88501474200791</v>
      </c>
      <c r="F58" s="102">
        <v>2.1878657401013637</v>
      </c>
      <c r="G58" s="102">
        <v>2.8906433449479301</v>
      </c>
      <c r="H58" s="61">
        <v>100</v>
      </c>
      <c r="I58" s="62">
        <v>24.312152036149062</v>
      </c>
      <c r="J58" s="62">
        <v>1.4902916574849923</v>
      </c>
      <c r="K58" s="62">
        <v>43.605049077767347</v>
      </c>
      <c r="L58" s="62">
        <v>6.6516475037677925</v>
      </c>
      <c r="M58" s="62">
        <v>17.79797224720193</v>
      </c>
      <c r="N58" s="62">
        <v>1.6571873173642158</v>
      </c>
      <c r="O58" s="62">
        <v>2.4133356703269224</v>
      </c>
      <c r="P58" s="62">
        <v>2.0723644899378626</v>
      </c>
    </row>
    <row r="59" spans="1:16" s="19" customFormat="1" ht="12.95" customHeight="1" x14ac:dyDescent="0.25">
      <c r="A59" s="37"/>
      <c r="B59" s="38" t="s">
        <v>55</v>
      </c>
      <c r="C59" s="36"/>
      <c r="D59" s="100">
        <v>6378.5061167558224</v>
      </c>
      <c r="E59" s="101">
        <v>5829.6002944234542</v>
      </c>
      <c r="F59" s="102">
        <v>2.3704551787880739</v>
      </c>
      <c r="G59" s="102">
        <v>2.593653439989509</v>
      </c>
      <c r="H59" s="61">
        <v>100</v>
      </c>
      <c r="I59" s="62">
        <v>8.6055545340064441</v>
      </c>
      <c r="J59" s="62">
        <v>1.417204488789747</v>
      </c>
      <c r="K59" s="62">
        <v>62.441687772056113</v>
      </c>
      <c r="L59" s="62">
        <v>10.711147318993515</v>
      </c>
      <c r="M59" s="62">
        <v>11.341337962462017</v>
      </c>
      <c r="N59" s="62">
        <v>1.6103253466325547</v>
      </c>
      <c r="O59" s="62">
        <v>2.6177268167227665</v>
      </c>
      <c r="P59" s="62">
        <v>1.2550157603371235</v>
      </c>
    </row>
    <row r="60" spans="1:16" s="19" customFormat="1" ht="12.95" customHeight="1" x14ac:dyDescent="0.25">
      <c r="A60" s="37"/>
      <c r="B60" s="38" t="s">
        <v>211</v>
      </c>
      <c r="C60" s="36"/>
      <c r="D60" s="100">
        <v>1425.9672604111859</v>
      </c>
      <c r="E60" s="101">
        <v>1204.3556905931725</v>
      </c>
      <c r="F60" s="102">
        <v>2.250621440742294</v>
      </c>
      <c r="G60" s="102">
        <v>2.6647547025723819</v>
      </c>
      <c r="H60" s="61">
        <v>100</v>
      </c>
      <c r="I60" s="62">
        <v>15.541140106829053</v>
      </c>
      <c r="J60" s="62">
        <v>1.5043796483655765</v>
      </c>
      <c r="K60" s="62">
        <v>57.220146398071641</v>
      </c>
      <c r="L60" s="62">
        <v>7.5684764884179581</v>
      </c>
      <c r="M60" s="62">
        <v>12.698290975816599</v>
      </c>
      <c r="N60" s="62">
        <v>1.3619171332885343</v>
      </c>
      <c r="O60" s="62">
        <v>1.9762953700728094</v>
      </c>
      <c r="P60" s="62">
        <v>2.1293538791379105</v>
      </c>
    </row>
    <row r="61" spans="1:16" s="19" customFormat="1" ht="12.95" customHeight="1" x14ac:dyDescent="0.25">
      <c r="A61" s="37"/>
      <c r="B61" s="38" t="s">
        <v>212</v>
      </c>
      <c r="C61" s="36"/>
      <c r="D61" s="100">
        <v>947.64890151683073</v>
      </c>
      <c r="E61" s="101">
        <v>765.50056506979695</v>
      </c>
      <c r="F61" s="102">
        <v>2.090233387146049</v>
      </c>
      <c r="G61" s="102">
        <v>2.587597532422659</v>
      </c>
      <c r="H61" s="61">
        <v>100</v>
      </c>
      <c r="I61" s="62">
        <v>19.221078202642623</v>
      </c>
      <c r="J61" s="62">
        <v>2.7924886144208854</v>
      </c>
      <c r="K61" s="62">
        <v>55.202290598818273</v>
      </c>
      <c r="L61" s="62">
        <v>8.8429526805007264</v>
      </c>
      <c r="M61" s="62">
        <v>8.4967466240288587</v>
      </c>
      <c r="N61" s="62">
        <v>2.3297031968104314</v>
      </c>
      <c r="O61" s="62">
        <v>1.0965311586597721</v>
      </c>
      <c r="P61" s="62">
        <v>2.0182089241185035</v>
      </c>
    </row>
    <row r="62" spans="1:16" s="19" customFormat="1" ht="12.95" customHeight="1" x14ac:dyDescent="0.25">
      <c r="A62" s="37"/>
      <c r="B62" s="38" t="s">
        <v>56</v>
      </c>
      <c r="C62" s="36"/>
      <c r="D62" s="100">
        <v>9521.6254962825114</v>
      </c>
      <c r="E62" s="101">
        <v>8161.7890199409703</v>
      </c>
      <c r="F62" s="102">
        <v>2.3961131083492857</v>
      </c>
      <c r="G62" s="102">
        <v>2.795329750462026</v>
      </c>
      <c r="H62" s="61">
        <v>100</v>
      </c>
      <c r="I62" s="62">
        <v>14.28155808976574</v>
      </c>
      <c r="J62" s="62">
        <v>2.8885163397275813</v>
      </c>
      <c r="K62" s="62">
        <v>53.57208212306935</v>
      </c>
      <c r="L62" s="62">
        <v>8.327455189633401</v>
      </c>
      <c r="M62" s="62">
        <v>11.311818830961606</v>
      </c>
      <c r="N62" s="62">
        <v>3.38591732964507</v>
      </c>
      <c r="O62" s="62">
        <v>3.7326726530884899</v>
      </c>
      <c r="P62" s="62">
        <v>2.4999794441083742</v>
      </c>
    </row>
    <row r="63" spans="1:16" s="19" customFormat="1" ht="12.95" customHeight="1" x14ac:dyDescent="0.25">
      <c r="A63" s="37"/>
      <c r="B63" s="38" t="s">
        <v>57</v>
      </c>
      <c r="C63" s="36"/>
      <c r="D63" s="100">
        <v>1722.5891299982352</v>
      </c>
      <c r="E63" s="101">
        <v>1515.3333885176341</v>
      </c>
      <c r="F63" s="102">
        <v>2.4141520341930636</v>
      </c>
      <c r="G63" s="102">
        <v>2.7443413335808677</v>
      </c>
      <c r="H63" s="61">
        <v>100</v>
      </c>
      <c r="I63" s="62">
        <v>12.031641084418766</v>
      </c>
      <c r="J63" s="62">
        <v>3.3726693108018817</v>
      </c>
      <c r="K63" s="62">
        <v>56.259994878909779</v>
      </c>
      <c r="L63" s="62">
        <v>9.7958161097174354</v>
      </c>
      <c r="M63" s="62">
        <v>8.8202341405827251</v>
      </c>
      <c r="N63" s="62">
        <v>3.7466255806629478</v>
      </c>
      <c r="O63" s="62">
        <v>2.8330508992273926</v>
      </c>
      <c r="P63" s="62">
        <v>3.139967995678711</v>
      </c>
    </row>
    <row r="64" spans="1:16" s="19" customFormat="1" ht="12.95" customHeight="1" x14ac:dyDescent="0.25">
      <c r="A64" s="37"/>
      <c r="B64" s="38" t="s">
        <v>204</v>
      </c>
      <c r="C64" s="36"/>
      <c r="D64" s="100">
        <v>83.971673267093962</v>
      </c>
      <c r="E64" s="101">
        <v>67.275496360740021</v>
      </c>
      <c r="F64" s="102">
        <v>2.0758296919210824</v>
      </c>
      <c r="G64" s="102">
        <v>2.5910012125878881</v>
      </c>
      <c r="H64" s="61">
        <v>100</v>
      </c>
      <c r="I64" s="62">
        <v>19.883106119902315</v>
      </c>
      <c r="J64" s="62">
        <v>0.42366807255045758</v>
      </c>
      <c r="K64" s="62">
        <v>41.821936389644442</v>
      </c>
      <c r="L64" s="62">
        <v>28.637474740369306</v>
      </c>
      <c r="M64" s="62">
        <v>8.7890458996897678</v>
      </c>
      <c r="N64" s="62">
        <v>0.22179214666057967</v>
      </c>
      <c r="O64" s="62">
        <v>0.22297663118316371</v>
      </c>
      <c r="P64" s="62">
        <v>0</v>
      </c>
    </row>
    <row r="65" spans="1:16" s="19" customFormat="1" ht="12.95" customHeight="1" x14ac:dyDescent="0.25">
      <c r="A65" s="37"/>
      <c r="B65" s="38" t="s">
        <v>58</v>
      </c>
      <c r="C65" s="36"/>
      <c r="D65" s="100">
        <v>3838.7869642482669</v>
      </c>
      <c r="E65" s="101">
        <v>2242.9420750536374</v>
      </c>
      <c r="F65" s="102">
        <v>1.6269642331063843</v>
      </c>
      <c r="G65" s="102">
        <v>2.7845431938752188</v>
      </c>
      <c r="H65" s="61">
        <v>100</v>
      </c>
      <c r="I65" s="62">
        <v>41.571592903102015</v>
      </c>
      <c r="J65" s="62">
        <v>1.9964229120262718</v>
      </c>
      <c r="K65" s="62">
        <v>36.728883685223693</v>
      </c>
      <c r="L65" s="62">
        <v>5.5117357106461906</v>
      </c>
      <c r="M65" s="62">
        <v>7.5091612378855439</v>
      </c>
      <c r="N65" s="62">
        <v>2.2990337341927249</v>
      </c>
      <c r="O65" s="62">
        <v>2.7537533980887248</v>
      </c>
      <c r="P65" s="62">
        <v>1.6294164188354952</v>
      </c>
    </row>
    <row r="66" spans="1:16" s="19" customFormat="1" ht="12.95" customHeight="1" x14ac:dyDescent="0.25">
      <c r="A66" s="37"/>
      <c r="B66" s="38" t="s">
        <v>59</v>
      </c>
      <c r="C66" s="36"/>
      <c r="D66" s="100">
        <v>5782.2650174970122</v>
      </c>
      <c r="E66" s="101">
        <v>3366.8097683979381</v>
      </c>
      <c r="F66" s="102">
        <v>1.5209323099510526</v>
      </c>
      <c r="G66" s="102">
        <v>2.6120969982796609</v>
      </c>
      <c r="H66" s="61">
        <v>100</v>
      </c>
      <c r="I66" s="62">
        <v>41.77351335142869</v>
      </c>
      <c r="J66" s="62">
        <v>2.9141810216592097</v>
      </c>
      <c r="K66" s="62">
        <v>37.365214816251118</v>
      </c>
      <c r="L66" s="62">
        <v>5.2750685612099071</v>
      </c>
      <c r="M66" s="62">
        <v>8.7189244394629597</v>
      </c>
      <c r="N66" s="62">
        <v>1.4171483441475332</v>
      </c>
      <c r="O66" s="62">
        <v>1.6105334808010319</v>
      </c>
      <c r="P66" s="62">
        <v>0.92541598503981348</v>
      </c>
    </row>
    <row r="67" spans="1:16" s="19" customFormat="1" ht="12.95" customHeight="1" x14ac:dyDescent="0.25">
      <c r="A67" s="37"/>
      <c r="B67" s="38" t="s">
        <v>61</v>
      </c>
      <c r="C67" s="36"/>
      <c r="D67" s="100">
        <v>1911.4783661531592</v>
      </c>
      <c r="E67" s="101">
        <v>1496.4431204799587</v>
      </c>
      <c r="F67" s="102">
        <v>2.2222465023209055</v>
      </c>
      <c r="G67" s="102">
        <v>2.8385817377967131</v>
      </c>
      <c r="H67" s="61">
        <v>100</v>
      </c>
      <c r="I67" s="62">
        <v>21.712788019069087</v>
      </c>
      <c r="J67" s="62">
        <v>2.5669655355319203</v>
      </c>
      <c r="K67" s="62">
        <v>46.812480312747809</v>
      </c>
      <c r="L67" s="62">
        <v>8.9029407211829614</v>
      </c>
      <c r="M67" s="62">
        <v>11.096759149348012</v>
      </c>
      <c r="N67" s="62">
        <v>2.1647595096523928</v>
      </c>
      <c r="O67" s="62">
        <v>4.1467213205999798</v>
      </c>
      <c r="P67" s="62">
        <v>2.5965854318674029</v>
      </c>
    </row>
    <row r="68" spans="1:16" s="19" customFormat="1" ht="12.95" customHeight="1" x14ac:dyDescent="0.25">
      <c r="A68" s="37"/>
      <c r="B68" s="38" t="s">
        <v>60</v>
      </c>
      <c r="C68" s="36"/>
      <c r="D68" s="100">
        <v>1692.5751595513027</v>
      </c>
      <c r="E68" s="101">
        <v>706.20352131760762</v>
      </c>
      <c r="F68" s="102">
        <v>1.1002729102466753</v>
      </c>
      <c r="G68" s="102">
        <v>2.637050850633178</v>
      </c>
      <c r="H68" s="61">
        <v>100</v>
      </c>
      <c r="I68" s="62">
        <v>58.276386290294788</v>
      </c>
      <c r="J68" s="62">
        <v>2.7008450480390964</v>
      </c>
      <c r="K68" s="62">
        <v>26.316028204061258</v>
      </c>
      <c r="L68" s="62">
        <v>3.7338142627068716</v>
      </c>
      <c r="M68" s="62">
        <v>5.2229733370425402</v>
      </c>
      <c r="N68" s="62">
        <v>1.3467871235880604</v>
      </c>
      <c r="O68" s="62">
        <v>1.6731326983857897</v>
      </c>
      <c r="P68" s="62">
        <v>0.73003303588134494</v>
      </c>
    </row>
    <row r="69" spans="1:16" s="19" customFormat="1" ht="12.95" customHeight="1" x14ac:dyDescent="0.25">
      <c r="A69" s="37"/>
      <c r="B69" s="38" t="s">
        <v>117</v>
      </c>
      <c r="C69" s="36"/>
      <c r="D69" s="100">
        <v>71.947398063652201</v>
      </c>
      <c r="E69" s="101">
        <v>47.544733493778928</v>
      </c>
      <c r="F69" s="102">
        <v>1.7289538043768851</v>
      </c>
      <c r="G69" s="102">
        <v>2.6163513486398258</v>
      </c>
      <c r="H69" s="61">
        <v>100</v>
      </c>
      <c r="I69" s="62">
        <v>33.91736911498058</v>
      </c>
      <c r="J69" s="62">
        <v>2.3862412509947228</v>
      </c>
      <c r="K69" s="62">
        <v>46.41728348858458</v>
      </c>
      <c r="L69" s="62">
        <v>7.1265444188490807</v>
      </c>
      <c r="M69" s="62">
        <v>1.9045823088581848</v>
      </c>
      <c r="N69" s="62">
        <v>0.81126678885269088</v>
      </c>
      <c r="O69" s="62">
        <v>7.4367126288801906</v>
      </c>
      <c r="P69" s="62">
        <v>0</v>
      </c>
    </row>
    <row r="70" spans="1:16" s="19" customFormat="1" ht="12.95" customHeight="1" x14ac:dyDescent="0.25">
      <c r="A70" s="37" t="s">
        <v>91</v>
      </c>
      <c r="B70" s="38"/>
      <c r="C70" s="36" t="s">
        <v>19</v>
      </c>
      <c r="D70" s="100"/>
      <c r="E70" s="101"/>
      <c r="F70" s="102"/>
      <c r="G70" s="102"/>
      <c r="H70" s="61"/>
      <c r="I70" s="62"/>
      <c r="J70" s="62"/>
      <c r="K70" s="62"/>
      <c r="L70" s="62"/>
      <c r="M70" s="62"/>
      <c r="N70" s="62"/>
      <c r="O70" s="62"/>
      <c r="P70" s="62"/>
    </row>
    <row r="71" spans="1:16" s="19" customFormat="1" ht="12.95" customHeight="1" x14ac:dyDescent="0.25">
      <c r="A71" s="37"/>
      <c r="B71" s="86" t="s">
        <v>106</v>
      </c>
      <c r="C71" s="36"/>
      <c r="D71" s="1">
        <v>0</v>
      </c>
      <c r="E71" s="101">
        <v>4349.5550711326141</v>
      </c>
      <c r="F71" s="4">
        <v>0</v>
      </c>
      <c r="G71" s="102">
        <v>2.4685131689605782</v>
      </c>
      <c r="H71" s="61">
        <v>100</v>
      </c>
      <c r="I71" s="62">
        <v>0</v>
      </c>
      <c r="J71" s="62">
        <v>10.468495105768667</v>
      </c>
      <c r="K71" s="62">
        <v>60.084173268765582</v>
      </c>
      <c r="L71" s="62">
        <v>10.659465657534238</v>
      </c>
      <c r="M71" s="62">
        <v>13.44447900859676</v>
      </c>
      <c r="N71" s="62">
        <v>2.6429558929685428</v>
      </c>
      <c r="O71" s="62">
        <v>2.2725465718124447</v>
      </c>
      <c r="P71" s="62">
        <v>0.42788449455361782</v>
      </c>
    </row>
    <row r="72" spans="1:16" s="19" customFormat="1" ht="12.95" customHeight="1" x14ac:dyDescent="0.25">
      <c r="A72" s="37"/>
      <c r="B72" s="87" t="s">
        <v>64</v>
      </c>
      <c r="C72" s="36"/>
      <c r="D72" s="1">
        <v>0</v>
      </c>
      <c r="E72" s="101">
        <v>1749.8154685698757</v>
      </c>
      <c r="F72" s="4">
        <v>0</v>
      </c>
      <c r="G72" s="102">
        <v>1.8680717734256882</v>
      </c>
      <c r="H72" s="61">
        <v>100</v>
      </c>
      <c r="I72" s="62">
        <v>0</v>
      </c>
      <c r="J72" s="62">
        <v>22.444488278607754</v>
      </c>
      <c r="K72" s="62">
        <v>70.266889402904994</v>
      </c>
      <c r="L72" s="62">
        <v>5.4224420400142961</v>
      </c>
      <c r="M72" s="62">
        <v>1.7693172542564208</v>
      </c>
      <c r="N72" s="62">
        <v>9.6863024216491192E-2</v>
      </c>
      <c r="O72" s="62">
        <v>0</v>
      </c>
      <c r="P72" s="62">
        <v>0</v>
      </c>
    </row>
    <row r="73" spans="1:16" s="19" customFormat="1" ht="12.95" customHeight="1" x14ac:dyDescent="0.25">
      <c r="A73" s="37"/>
      <c r="B73" s="87" t="s">
        <v>66</v>
      </c>
      <c r="C73" s="36"/>
      <c r="D73" s="1">
        <v>0</v>
      </c>
      <c r="E73" s="101">
        <v>250.39328684236452</v>
      </c>
      <c r="F73" s="4">
        <v>0</v>
      </c>
      <c r="G73" s="102">
        <v>1.5612297659856413</v>
      </c>
      <c r="H73" s="61">
        <v>100</v>
      </c>
      <c r="I73" s="62">
        <v>0</v>
      </c>
      <c r="J73" s="62">
        <v>47.004655569205056</v>
      </c>
      <c r="K73" s="62">
        <v>49.867712263025574</v>
      </c>
      <c r="L73" s="62">
        <v>3.1276321677693097</v>
      </c>
      <c r="M73" s="62">
        <v>0</v>
      </c>
      <c r="N73" s="62">
        <v>0</v>
      </c>
      <c r="O73" s="62">
        <v>0</v>
      </c>
      <c r="P73" s="62">
        <v>0</v>
      </c>
    </row>
    <row r="74" spans="1:16" s="19" customFormat="1" ht="12.95" customHeight="1" x14ac:dyDescent="0.25">
      <c r="A74" s="37"/>
      <c r="B74" s="87" t="s">
        <v>65</v>
      </c>
      <c r="C74" s="36"/>
      <c r="D74" s="1">
        <v>0</v>
      </c>
      <c r="E74" s="101">
        <v>637.95707270795447</v>
      </c>
      <c r="F74" s="4">
        <v>0</v>
      </c>
      <c r="G74" s="102">
        <v>1.556197374441862</v>
      </c>
      <c r="H74" s="61">
        <v>100</v>
      </c>
      <c r="I74" s="62">
        <v>0</v>
      </c>
      <c r="J74" s="62">
        <v>45.905154813438365</v>
      </c>
      <c r="K74" s="62">
        <v>52.648043952773094</v>
      </c>
      <c r="L74" s="62">
        <v>1.3687102099526705</v>
      </c>
      <c r="M74" s="62">
        <v>7.8091023835893919E-2</v>
      </c>
      <c r="N74" s="62">
        <v>0</v>
      </c>
      <c r="O74" s="62">
        <v>0</v>
      </c>
      <c r="P74" s="62">
        <v>0</v>
      </c>
    </row>
    <row r="75" spans="1:16" s="19" customFormat="1" ht="12.95" customHeight="1" x14ac:dyDescent="0.25">
      <c r="A75" s="37"/>
      <c r="B75" s="87" t="s">
        <v>223</v>
      </c>
      <c r="C75" s="36"/>
      <c r="D75" s="1">
        <v>0</v>
      </c>
      <c r="E75" s="101">
        <v>2265.8461282122003</v>
      </c>
      <c r="F75" s="4">
        <v>0</v>
      </c>
      <c r="G75" s="102">
        <v>1.8658155007194639</v>
      </c>
      <c r="H75" s="61">
        <v>100</v>
      </c>
      <c r="I75" s="62">
        <v>0</v>
      </c>
      <c r="J75" s="62">
        <v>25.374447047944905</v>
      </c>
      <c r="K75" s="62">
        <v>67.648149388723468</v>
      </c>
      <c r="L75" s="62">
        <v>2.9413844797425015</v>
      </c>
      <c r="M75" s="62">
        <v>3.5833160128253709</v>
      </c>
      <c r="N75" s="62">
        <v>0.24441034896850986</v>
      </c>
      <c r="O75" s="62">
        <v>0.10702693653413219</v>
      </c>
      <c r="P75" s="62">
        <v>0.10126578526101189</v>
      </c>
    </row>
    <row r="76" spans="1:16" s="19" customFormat="1" ht="12.95" customHeight="1" x14ac:dyDescent="0.25">
      <c r="A76" s="37"/>
      <c r="B76" s="87" t="s">
        <v>224</v>
      </c>
      <c r="C76" s="36"/>
      <c r="D76" s="1">
        <v>0</v>
      </c>
      <c r="E76" s="101">
        <v>1105.6944673083067</v>
      </c>
      <c r="F76" s="4">
        <v>0</v>
      </c>
      <c r="G76" s="102">
        <v>1.6262709714604329</v>
      </c>
      <c r="H76" s="61">
        <v>100</v>
      </c>
      <c r="I76" s="62">
        <v>0</v>
      </c>
      <c r="J76" s="62">
        <v>47.21246073449533</v>
      </c>
      <c r="K76" s="62">
        <v>47.448850093945957</v>
      </c>
      <c r="L76" s="62">
        <v>2.2142295484840218</v>
      </c>
      <c r="M76" s="62">
        <v>2.4362550801220464</v>
      </c>
      <c r="N76" s="62">
        <v>0</v>
      </c>
      <c r="O76" s="62">
        <v>0.68820454295264732</v>
      </c>
      <c r="P76" s="62">
        <v>0</v>
      </c>
    </row>
    <row r="77" spans="1:16" s="19" customFormat="1" ht="12.95" customHeight="1" x14ac:dyDescent="0.25">
      <c r="A77" s="37"/>
      <c r="B77" s="87" t="s">
        <v>225</v>
      </c>
      <c r="C77" s="36"/>
      <c r="D77" s="1">
        <v>0</v>
      </c>
      <c r="E77" s="101">
        <v>54.00973852331078</v>
      </c>
      <c r="F77" s="4">
        <v>0</v>
      </c>
      <c r="G77" s="102">
        <v>1.0856351159398512</v>
      </c>
      <c r="H77" s="61">
        <v>100</v>
      </c>
      <c r="I77" s="62">
        <v>0</v>
      </c>
      <c r="J77" s="62">
        <v>91.436488406014902</v>
      </c>
      <c r="K77" s="62">
        <v>8.5635115939851119</v>
      </c>
      <c r="L77" s="62">
        <v>0</v>
      </c>
      <c r="M77" s="62">
        <v>0</v>
      </c>
      <c r="N77" s="62">
        <v>0</v>
      </c>
      <c r="O77" s="62">
        <v>0</v>
      </c>
      <c r="P77" s="62">
        <v>0</v>
      </c>
    </row>
    <row r="78" spans="1:16" s="19" customFormat="1" ht="12.95" customHeight="1" x14ac:dyDescent="0.25">
      <c r="A78" s="37"/>
      <c r="B78" s="86" t="s">
        <v>89</v>
      </c>
      <c r="C78" s="36"/>
      <c r="D78" s="1">
        <v>0</v>
      </c>
      <c r="E78" s="101">
        <v>4225.4394113881826</v>
      </c>
      <c r="F78" s="4">
        <v>0</v>
      </c>
      <c r="G78" s="102">
        <v>2.1392711524928623</v>
      </c>
      <c r="H78" s="61">
        <v>100</v>
      </c>
      <c r="I78" s="62">
        <v>0</v>
      </c>
      <c r="J78" s="62">
        <v>14.74622650908883</v>
      </c>
      <c r="K78" s="62">
        <v>69.095268703581596</v>
      </c>
      <c r="L78" s="62">
        <v>6.5082351419678215</v>
      </c>
      <c r="M78" s="62">
        <v>8.1515577199651084</v>
      </c>
      <c r="N78" s="62">
        <v>0.51767648881317552</v>
      </c>
      <c r="O78" s="62">
        <v>0.78253842173806687</v>
      </c>
      <c r="P78" s="62">
        <v>0.19849701484551505</v>
      </c>
    </row>
    <row r="79" spans="1:16" s="19" customFormat="1" ht="12.95" customHeight="1" x14ac:dyDescent="0.25">
      <c r="A79" s="37"/>
      <c r="B79" s="87" t="s">
        <v>69</v>
      </c>
      <c r="C79" s="36"/>
      <c r="D79" s="1">
        <v>0</v>
      </c>
      <c r="E79" s="101">
        <v>3392.1589344848776</v>
      </c>
      <c r="F79" s="4">
        <v>0</v>
      </c>
      <c r="G79" s="102">
        <v>2.062399375561454</v>
      </c>
      <c r="H79" s="61">
        <v>100</v>
      </c>
      <c r="I79" s="62">
        <v>0</v>
      </c>
      <c r="J79" s="62">
        <v>17.1992254207785</v>
      </c>
      <c r="K79" s="62">
        <v>68.885324600111204</v>
      </c>
      <c r="L79" s="62">
        <v>6.3068796598596171</v>
      </c>
      <c r="M79" s="62">
        <v>6.4453515712341485</v>
      </c>
      <c r="N79" s="62">
        <v>0.47467051456955567</v>
      </c>
      <c r="O79" s="62">
        <v>0.63396628128799859</v>
      </c>
      <c r="P79" s="62">
        <v>5.4581952159062669E-2</v>
      </c>
    </row>
    <row r="80" spans="1:16" s="19" customFormat="1" ht="12.95" customHeight="1" x14ac:dyDescent="0.25">
      <c r="A80" s="37"/>
      <c r="B80" s="87" t="s">
        <v>226</v>
      </c>
      <c r="C80" s="36"/>
      <c r="D80" s="1">
        <v>0</v>
      </c>
      <c r="E80" s="101">
        <v>905.46231577048854</v>
      </c>
      <c r="F80" s="4">
        <v>0</v>
      </c>
      <c r="G80" s="102">
        <v>2.1317170457905839</v>
      </c>
      <c r="H80" s="61">
        <v>100</v>
      </c>
      <c r="I80" s="62">
        <v>0</v>
      </c>
      <c r="J80" s="62">
        <v>14.803885262627272</v>
      </c>
      <c r="K80" s="62">
        <v>69.578701144098844</v>
      </c>
      <c r="L80" s="62">
        <v>6.0811573650456108</v>
      </c>
      <c r="M80" s="62">
        <v>7.9508193917562888</v>
      </c>
      <c r="N80" s="62">
        <v>0.83981039561252802</v>
      </c>
      <c r="O80" s="62">
        <v>0.38637916703225239</v>
      </c>
      <c r="P80" s="62">
        <v>0.35924727382698141</v>
      </c>
    </row>
    <row r="81" spans="1:16" s="19" customFormat="1" ht="12.95" customHeight="1" x14ac:dyDescent="0.25">
      <c r="A81" s="37"/>
      <c r="B81" s="87" t="s">
        <v>227</v>
      </c>
      <c r="C81" s="36"/>
      <c r="D81" s="1">
        <v>0</v>
      </c>
      <c r="E81" s="101">
        <v>54.049038344316266</v>
      </c>
      <c r="F81" s="4">
        <v>0</v>
      </c>
      <c r="G81" s="102">
        <v>2.0941116016234518</v>
      </c>
      <c r="H81" s="61">
        <v>100</v>
      </c>
      <c r="I81" s="62">
        <v>0</v>
      </c>
      <c r="J81" s="62">
        <v>4.159350749970212</v>
      </c>
      <c r="K81" s="62">
        <v>90.877647022143464</v>
      </c>
      <c r="L81" s="62">
        <v>0.67875919820679254</v>
      </c>
      <c r="M81" s="62">
        <v>2.1226102023047635</v>
      </c>
      <c r="N81" s="62">
        <v>0</v>
      </c>
      <c r="O81" s="62">
        <v>2.1616328273747665</v>
      </c>
      <c r="P81" s="62">
        <v>0</v>
      </c>
    </row>
    <row r="82" spans="1:16" s="19" customFormat="1" ht="12.95" customHeight="1" x14ac:dyDescent="0.25">
      <c r="A82" s="37"/>
      <c r="B82" s="86" t="s">
        <v>90</v>
      </c>
      <c r="C82" s="36"/>
      <c r="D82" s="1">
        <v>0</v>
      </c>
      <c r="E82" s="101">
        <v>20244.021871004315</v>
      </c>
      <c r="F82" s="4">
        <v>0</v>
      </c>
      <c r="G82" s="102">
        <v>2.5110936972920879</v>
      </c>
      <c r="H82" s="61">
        <v>100</v>
      </c>
      <c r="I82" s="62">
        <v>0</v>
      </c>
      <c r="J82" s="62">
        <v>4.4261996918665751</v>
      </c>
      <c r="K82" s="62">
        <v>69.08800834163506</v>
      </c>
      <c r="L82" s="62">
        <v>9.9097982966480416</v>
      </c>
      <c r="M82" s="62">
        <v>10.598531561719298</v>
      </c>
      <c r="N82" s="62">
        <v>2.4809562108449814</v>
      </c>
      <c r="O82" s="62">
        <v>1.9155667592003025</v>
      </c>
      <c r="P82" s="62">
        <v>1.5809391380833058</v>
      </c>
    </row>
    <row r="83" spans="1:16" s="19" customFormat="1" ht="12.95" customHeight="1" x14ac:dyDescent="0.25">
      <c r="A83" s="37"/>
      <c r="B83" s="87" t="s">
        <v>63</v>
      </c>
      <c r="C83" s="36"/>
      <c r="D83" s="1">
        <v>0</v>
      </c>
      <c r="E83" s="101">
        <v>12883.629774043979</v>
      </c>
      <c r="F83" s="4">
        <v>0</v>
      </c>
      <c r="G83" s="102">
        <v>2.3955181983216365</v>
      </c>
      <c r="H83" s="61">
        <v>100</v>
      </c>
      <c r="I83" s="62">
        <v>0</v>
      </c>
      <c r="J83" s="62">
        <v>4.7611686901664179</v>
      </c>
      <c r="K83" s="62">
        <v>71.943635113696274</v>
      </c>
      <c r="L83" s="62">
        <v>9.7789939028384367</v>
      </c>
      <c r="M83" s="62">
        <v>9.6019364210235612</v>
      </c>
      <c r="N83" s="62">
        <v>1.7799613053236327</v>
      </c>
      <c r="O83" s="62">
        <v>1.4270721672926387</v>
      </c>
      <c r="P83" s="62">
        <v>0.70723239965832263</v>
      </c>
    </row>
    <row r="84" spans="1:16" s="19" customFormat="1" ht="12.95" customHeight="1" x14ac:dyDescent="0.25">
      <c r="A84" s="37"/>
      <c r="B84" s="87" t="s">
        <v>70</v>
      </c>
      <c r="C84" s="36"/>
      <c r="D84" s="1">
        <v>0</v>
      </c>
      <c r="E84" s="101">
        <v>7822.0781573598115</v>
      </c>
      <c r="F84" s="4">
        <v>0</v>
      </c>
      <c r="G84" s="102">
        <v>2.3983345568269399</v>
      </c>
      <c r="H84" s="61">
        <v>100</v>
      </c>
      <c r="I84" s="62">
        <v>0</v>
      </c>
      <c r="J84" s="62">
        <v>8.9233275248546331</v>
      </c>
      <c r="K84" s="62">
        <v>67.477425563295313</v>
      </c>
      <c r="L84" s="62">
        <v>9.6976737047137878</v>
      </c>
      <c r="M84" s="62">
        <v>8.2497611698279023</v>
      </c>
      <c r="N84" s="62">
        <v>2.6241073650948872</v>
      </c>
      <c r="O84" s="62">
        <v>1.3640999243027367</v>
      </c>
      <c r="P84" s="62">
        <v>1.6636047479109133</v>
      </c>
    </row>
    <row r="85" spans="1:16" s="19" customFormat="1" ht="12.95" customHeight="1" x14ac:dyDescent="0.25">
      <c r="A85" s="37"/>
      <c r="B85" s="87" t="s">
        <v>178</v>
      </c>
      <c r="C85" s="36"/>
      <c r="D85" s="1">
        <v>0</v>
      </c>
      <c r="E85" s="101">
        <v>510.3902008002301</v>
      </c>
      <c r="F85" s="4">
        <v>0</v>
      </c>
      <c r="G85" s="102">
        <v>2.3740773060756091</v>
      </c>
      <c r="H85" s="61">
        <v>100</v>
      </c>
      <c r="I85" s="62">
        <v>0</v>
      </c>
      <c r="J85" s="62">
        <v>9.468576061590646</v>
      </c>
      <c r="K85" s="62">
        <v>68.802535977849885</v>
      </c>
      <c r="L85" s="62">
        <v>5.9681493319881849</v>
      </c>
      <c r="M85" s="62">
        <v>10.970533943203488</v>
      </c>
      <c r="N85" s="62">
        <v>1.9173814488525491</v>
      </c>
      <c r="O85" s="62">
        <v>1.7285049437196534</v>
      </c>
      <c r="P85" s="62">
        <v>1.1443182927956423</v>
      </c>
    </row>
    <row r="86" spans="1:16" s="19" customFormat="1" ht="12.95" customHeight="1" x14ac:dyDescent="0.25">
      <c r="A86" s="37" t="s">
        <v>5</v>
      </c>
      <c r="B86" s="38"/>
      <c r="C86" s="36" t="s">
        <v>19</v>
      </c>
      <c r="D86" s="1"/>
      <c r="E86" s="101"/>
      <c r="F86" s="4"/>
      <c r="G86" s="102"/>
      <c r="H86" s="61"/>
      <c r="I86" s="62"/>
      <c r="J86" s="62"/>
      <c r="K86" s="62"/>
      <c r="L86" s="62"/>
      <c r="M86" s="62"/>
      <c r="N86" s="62"/>
      <c r="O86" s="62"/>
      <c r="P86" s="62"/>
    </row>
    <row r="87" spans="1:16" s="19" customFormat="1" ht="12.95" customHeight="1" x14ac:dyDescent="0.25">
      <c r="A87" s="37"/>
      <c r="B87" s="38" t="s">
        <v>6</v>
      </c>
      <c r="C87" s="36"/>
      <c r="D87" s="1">
        <v>0</v>
      </c>
      <c r="E87" s="101">
        <v>15320.453007463871</v>
      </c>
      <c r="F87" s="4">
        <v>0</v>
      </c>
      <c r="G87" s="102">
        <v>2.0630590922647256</v>
      </c>
      <c r="H87" s="61">
        <v>100</v>
      </c>
      <c r="I87" s="62">
        <v>0</v>
      </c>
      <c r="J87" s="62">
        <v>8.509100856846171</v>
      </c>
      <c r="K87" s="62">
        <v>84.978683710274623</v>
      </c>
      <c r="L87" s="62">
        <v>1.665763986552212</v>
      </c>
      <c r="M87" s="62">
        <v>3.0148944692836945</v>
      </c>
      <c r="N87" s="62">
        <v>0.40043732559886253</v>
      </c>
      <c r="O87" s="62">
        <v>1.2950792387653924</v>
      </c>
      <c r="P87" s="62">
        <v>0.13604041267860947</v>
      </c>
    </row>
    <row r="88" spans="1:16" s="19" customFormat="1" ht="12.95" customHeight="1" x14ac:dyDescent="0.25">
      <c r="A88" s="37"/>
      <c r="B88" s="38" t="s">
        <v>7</v>
      </c>
      <c r="C88" s="36"/>
      <c r="D88" s="1">
        <v>0</v>
      </c>
      <c r="E88" s="101">
        <v>1523.3731012791009</v>
      </c>
      <c r="F88" s="4">
        <v>0</v>
      </c>
      <c r="G88" s="102">
        <v>2.3676582391252938</v>
      </c>
      <c r="H88" s="61">
        <v>100</v>
      </c>
      <c r="I88" s="62">
        <v>0</v>
      </c>
      <c r="J88" s="62">
        <v>8.3620500487998122</v>
      </c>
      <c r="K88" s="62">
        <v>72.603238556854436</v>
      </c>
      <c r="L88" s="62">
        <v>3.7301066080403991</v>
      </c>
      <c r="M88" s="62">
        <v>9.747799193115144</v>
      </c>
      <c r="N88" s="62">
        <v>1.0627680630621623</v>
      </c>
      <c r="O88" s="62">
        <v>4.0748891158891025</v>
      </c>
      <c r="P88" s="62">
        <v>0.41914841423878457</v>
      </c>
    </row>
    <row r="89" spans="1:16" s="19" customFormat="1" ht="12.95" customHeight="1" x14ac:dyDescent="0.25">
      <c r="A89" s="37"/>
      <c r="B89" s="38" t="s">
        <v>122</v>
      </c>
      <c r="C89" s="36"/>
      <c r="D89" s="1">
        <v>0</v>
      </c>
      <c r="E89" s="101">
        <v>1359.6993823017069</v>
      </c>
      <c r="F89" s="4">
        <v>0</v>
      </c>
      <c r="G89" s="102">
        <v>2.462349244604801</v>
      </c>
      <c r="H89" s="61">
        <v>100</v>
      </c>
      <c r="I89" s="62">
        <v>0</v>
      </c>
      <c r="J89" s="62">
        <v>28.992964759441062</v>
      </c>
      <c r="K89" s="62">
        <v>34.093568007155319</v>
      </c>
      <c r="L89" s="62">
        <v>17.12757924099958</v>
      </c>
      <c r="M89" s="62">
        <v>11.603180636726933</v>
      </c>
      <c r="N89" s="62">
        <v>3.3171989505969095</v>
      </c>
      <c r="O89" s="62">
        <v>2.1408390379785067</v>
      </c>
      <c r="P89" s="62">
        <v>2.7246693671017543</v>
      </c>
    </row>
    <row r="90" spans="1:16" s="19" customFormat="1" ht="12.95" customHeight="1" x14ac:dyDescent="0.25">
      <c r="A90" s="37"/>
      <c r="B90" s="38" t="s">
        <v>8</v>
      </c>
      <c r="C90" s="36"/>
      <c r="D90" s="1">
        <v>0</v>
      </c>
      <c r="E90" s="101">
        <v>5729.4491898323067</v>
      </c>
      <c r="F90" s="4">
        <v>0</v>
      </c>
      <c r="G90" s="102">
        <v>1.9773006332246632</v>
      </c>
      <c r="H90" s="61">
        <v>100</v>
      </c>
      <c r="I90" s="62">
        <v>0</v>
      </c>
      <c r="J90" s="62">
        <v>22.277193512116114</v>
      </c>
      <c r="K90" s="62">
        <v>66.733358721002816</v>
      </c>
      <c r="L90" s="62">
        <v>4.0783608917818137</v>
      </c>
      <c r="M90" s="62">
        <v>5.4884354780646012</v>
      </c>
      <c r="N90" s="62">
        <v>0.86599269505860066</v>
      </c>
      <c r="O90" s="62">
        <v>0.45091512405542306</v>
      </c>
      <c r="P90" s="62">
        <v>0.10574357792045362</v>
      </c>
    </row>
    <row r="91" spans="1:16" s="19" customFormat="1" ht="12.95" customHeight="1" x14ac:dyDescent="0.25">
      <c r="A91" s="37"/>
      <c r="B91" s="38" t="s">
        <v>9</v>
      </c>
      <c r="C91" s="36"/>
      <c r="D91" s="1">
        <v>0</v>
      </c>
      <c r="E91" s="101">
        <v>5589.282429341185</v>
      </c>
      <c r="F91" s="4">
        <v>0</v>
      </c>
      <c r="G91" s="102">
        <v>2.1129764214941256</v>
      </c>
      <c r="H91" s="61">
        <v>100</v>
      </c>
      <c r="I91" s="62">
        <v>0</v>
      </c>
      <c r="J91" s="62">
        <v>26.978330689568232</v>
      </c>
      <c r="K91" s="62">
        <v>54.275624280616618</v>
      </c>
      <c r="L91" s="62">
        <v>6.5019067422776846</v>
      </c>
      <c r="M91" s="62">
        <v>8.5097528616454579</v>
      </c>
      <c r="N91" s="62">
        <v>1.5601703474210309</v>
      </c>
      <c r="O91" s="62">
        <v>1.3138295921748437</v>
      </c>
      <c r="P91" s="62">
        <v>0.8603854862959408</v>
      </c>
    </row>
    <row r="92" spans="1:16" s="19" customFormat="1" ht="12.95" customHeight="1" x14ac:dyDescent="0.25">
      <c r="A92" s="37"/>
      <c r="B92" s="38" t="s">
        <v>10</v>
      </c>
      <c r="C92" s="36"/>
      <c r="D92" s="1">
        <v>0</v>
      </c>
      <c r="E92" s="101">
        <v>4387.4425573896106</v>
      </c>
      <c r="F92" s="4">
        <v>0</v>
      </c>
      <c r="G92" s="102">
        <v>2.0308376075015628</v>
      </c>
      <c r="H92" s="61">
        <v>100</v>
      </c>
      <c r="I92" s="62">
        <v>0</v>
      </c>
      <c r="J92" s="62">
        <v>29.239160362690864</v>
      </c>
      <c r="K92" s="62">
        <v>51.332004807859832</v>
      </c>
      <c r="L92" s="62">
        <v>9.8369208140242321</v>
      </c>
      <c r="M92" s="62">
        <v>7.6450469857853136</v>
      </c>
      <c r="N92" s="62">
        <v>0.93025203165455028</v>
      </c>
      <c r="O92" s="62">
        <v>0.78554007362702416</v>
      </c>
      <c r="P92" s="62">
        <v>0.23107492435766475</v>
      </c>
    </row>
    <row r="93" spans="1:16" s="19" customFormat="1" ht="12.95" customHeight="1" x14ac:dyDescent="0.25">
      <c r="A93" s="37" t="s">
        <v>72</v>
      </c>
      <c r="B93" s="38"/>
      <c r="C93" s="36" t="s">
        <v>19</v>
      </c>
      <c r="D93" s="1"/>
      <c r="E93" s="101"/>
      <c r="F93" s="4"/>
      <c r="G93" s="102"/>
      <c r="H93" s="61"/>
      <c r="I93" s="62"/>
      <c r="J93" s="62"/>
      <c r="K93" s="62"/>
      <c r="L93" s="62"/>
      <c r="M93" s="62"/>
      <c r="N93" s="62"/>
      <c r="O93" s="62"/>
      <c r="P93" s="62"/>
    </row>
    <row r="94" spans="1:16" s="19" customFormat="1" ht="12.95" customHeight="1" x14ac:dyDescent="0.25">
      <c r="A94" s="37"/>
      <c r="B94" s="38" t="s">
        <v>123</v>
      </c>
      <c r="C94" s="36"/>
      <c r="D94" s="1">
        <v>0</v>
      </c>
      <c r="E94" s="101">
        <v>3579.0797673512834</v>
      </c>
      <c r="F94" s="4">
        <v>0</v>
      </c>
      <c r="G94" s="102">
        <v>1.3086576215284027</v>
      </c>
      <c r="H94" s="61">
        <v>100</v>
      </c>
      <c r="I94" s="62">
        <v>0</v>
      </c>
      <c r="J94" s="62">
        <v>77.102420609499632</v>
      </c>
      <c r="K94" s="62">
        <v>15.653075190979598</v>
      </c>
      <c r="L94" s="62">
        <v>6.5371205010374061</v>
      </c>
      <c r="M94" s="62">
        <v>0.69795772310697657</v>
      </c>
      <c r="N94" s="62">
        <v>2.557086416492254E-3</v>
      </c>
      <c r="O94" s="62">
        <v>6.8688889598035882E-3</v>
      </c>
      <c r="P94" s="62">
        <v>0</v>
      </c>
    </row>
    <row r="95" spans="1:16" s="19" customFormat="1" ht="12.95" customHeight="1" x14ac:dyDescent="0.25">
      <c r="A95" s="37"/>
      <c r="B95" s="38" t="s">
        <v>124</v>
      </c>
      <c r="C95" s="36"/>
      <c r="D95" s="1">
        <v>0</v>
      </c>
      <c r="E95" s="101">
        <v>14075.367015462391</v>
      </c>
      <c r="F95" s="4">
        <v>0</v>
      </c>
      <c r="G95" s="102">
        <v>1.2179336245681716</v>
      </c>
      <c r="H95" s="61">
        <v>100</v>
      </c>
      <c r="I95" s="62">
        <v>0</v>
      </c>
      <c r="J95" s="62">
        <v>82.022541017715653</v>
      </c>
      <c r="K95" s="62">
        <v>14.527434231847927</v>
      </c>
      <c r="L95" s="62">
        <v>3.1041992616691312</v>
      </c>
      <c r="M95" s="62">
        <v>0.32680076288532084</v>
      </c>
      <c r="N95" s="62">
        <v>1.7996216435313267E-2</v>
      </c>
      <c r="O95" s="62">
        <v>1.028509446724309E-3</v>
      </c>
      <c r="P95" s="62">
        <v>0</v>
      </c>
    </row>
    <row r="96" spans="1:16" s="19" customFormat="1" ht="12.95" customHeight="1" x14ac:dyDescent="0.25">
      <c r="A96" s="37"/>
      <c r="B96" s="38" t="s">
        <v>219</v>
      </c>
      <c r="C96" s="36"/>
      <c r="D96" s="1">
        <v>0</v>
      </c>
      <c r="E96" s="101">
        <v>5835.1902727224415</v>
      </c>
      <c r="F96" s="4">
        <v>0</v>
      </c>
      <c r="G96" s="102">
        <v>1.3232015213794599</v>
      </c>
      <c r="H96" s="61">
        <v>100</v>
      </c>
      <c r="I96" s="62">
        <v>0</v>
      </c>
      <c r="J96" s="62">
        <v>73.045074991704496</v>
      </c>
      <c r="K96" s="62">
        <v>22.03828197784491</v>
      </c>
      <c r="L96" s="62">
        <v>4.4799690821937075</v>
      </c>
      <c r="M96" s="62">
        <v>0.42476379731525465</v>
      </c>
      <c r="N96" s="62">
        <v>1.19101509418239E-2</v>
      </c>
      <c r="O96" s="62">
        <v>0</v>
      </c>
      <c r="P96" s="62">
        <v>0</v>
      </c>
    </row>
    <row r="97" spans="1:16" s="19" customFormat="1" ht="12.95" customHeight="1" x14ac:dyDescent="0.25">
      <c r="A97" s="37"/>
      <c r="B97" s="38" t="s">
        <v>214</v>
      </c>
      <c r="C97" s="36"/>
      <c r="D97" s="1">
        <v>0</v>
      </c>
      <c r="E97" s="101">
        <v>4300.7329490763877</v>
      </c>
      <c r="F97" s="4">
        <v>0</v>
      </c>
      <c r="G97" s="102">
        <v>1.3599477360866354</v>
      </c>
      <c r="H97" s="61">
        <v>100</v>
      </c>
      <c r="I97" s="62">
        <v>0</v>
      </c>
      <c r="J97" s="62">
        <v>68.540301388007308</v>
      </c>
      <c r="K97" s="62">
        <v>27.574932047304124</v>
      </c>
      <c r="L97" s="62">
        <v>3.3165444890479656</v>
      </c>
      <c r="M97" s="62">
        <v>0.49641556754287103</v>
      </c>
      <c r="N97" s="62">
        <v>6.152665985187452E-2</v>
      </c>
      <c r="O97" s="62">
        <v>1.0279848245530262E-2</v>
      </c>
      <c r="P97" s="62">
        <v>0</v>
      </c>
    </row>
    <row r="98" spans="1:16" s="19" customFormat="1" ht="12.95" customHeight="1" x14ac:dyDescent="0.25">
      <c r="A98" s="37"/>
      <c r="B98" s="38" t="s">
        <v>216</v>
      </c>
      <c r="C98" s="36"/>
      <c r="D98" s="1">
        <v>0</v>
      </c>
      <c r="E98" s="101">
        <v>3110.0344323366776</v>
      </c>
      <c r="F98" s="4">
        <v>0</v>
      </c>
      <c r="G98" s="102">
        <v>1.2305668942688808</v>
      </c>
      <c r="H98" s="61">
        <v>100</v>
      </c>
      <c r="I98" s="62">
        <v>0</v>
      </c>
      <c r="J98" s="62">
        <v>81.2634640932921</v>
      </c>
      <c r="K98" s="62">
        <v>15.207250500510694</v>
      </c>
      <c r="L98" s="62">
        <v>2.8580316002812385</v>
      </c>
      <c r="M98" s="62">
        <v>0.62547115909218731</v>
      </c>
      <c r="N98" s="62">
        <v>8.8668162021584111E-3</v>
      </c>
      <c r="O98" s="62">
        <v>0</v>
      </c>
      <c r="P98" s="62">
        <v>3.6915830621627191E-2</v>
      </c>
    </row>
    <row r="99" spans="1:16" s="19" customFormat="1" ht="12.95" customHeight="1" x14ac:dyDescent="0.25">
      <c r="A99" s="37"/>
      <c r="B99" s="38" t="s">
        <v>218</v>
      </c>
      <c r="C99" s="36"/>
      <c r="D99" s="1">
        <v>0</v>
      </c>
      <c r="E99" s="101">
        <v>4969.2914775255067</v>
      </c>
      <c r="F99" s="4">
        <v>0</v>
      </c>
      <c r="G99" s="102">
        <v>1.3169804197222859</v>
      </c>
      <c r="H99" s="61">
        <v>100</v>
      </c>
      <c r="I99" s="62">
        <v>0</v>
      </c>
      <c r="J99" s="62">
        <v>73.634894137095287</v>
      </c>
      <c r="K99" s="62">
        <v>21.86793316624858</v>
      </c>
      <c r="L99" s="62">
        <v>3.8284406453837243</v>
      </c>
      <c r="M99" s="62">
        <v>0.51190226561753305</v>
      </c>
      <c r="N99" s="62">
        <v>0.14662820991383008</v>
      </c>
      <c r="O99" s="62">
        <v>1.0201575740962135E-2</v>
      </c>
      <c r="P99" s="62">
        <v>0</v>
      </c>
    </row>
    <row r="100" spans="1:16" s="19" customFormat="1" ht="12.95" customHeight="1" x14ac:dyDescent="0.25">
      <c r="A100" s="37"/>
      <c r="B100" s="38" t="s">
        <v>125</v>
      </c>
      <c r="C100" s="36"/>
      <c r="D100" s="1">
        <v>0</v>
      </c>
      <c r="E100" s="101">
        <v>12405.813154336505</v>
      </c>
      <c r="F100" s="4">
        <v>0</v>
      </c>
      <c r="G100" s="102">
        <v>1.2582135201692299</v>
      </c>
      <c r="H100" s="61">
        <v>100</v>
      </c>
      <c r="I100" s="62">
        <v>0</v>
      </c>
      <c r="J100" s="62">
        <v>79.943209619799418</v>
      </c>
      <c r="K100" s="62">
        <v>15.069944604156001</v>
      </c>
      <c r="L100" s="62">
        <v>4.3406486645415097</v>
      </c>
      <c r="M100" s="62">
        <v>0.5193650406196203</v>
      </c>
      <c r="N100" s="62">
        <v>0.12448873173615102</v>
      </c>
      <c r="O100" s="62">
        <v>0</v>
      </c>
      <c r="P100" s="62">
        <v>2.3433391466764655E-3</v>
      </c>
    </row>
    <row r="101" spans="1:16" s="19" customFormat="1" ht="12.95" customHeight="1" x14ac:dyDescent="0.25">
      <c r="A101" s="37"/>
      <c r="B101" s="38" t="s">
        <v>126</v>
      </c>
      <c r="C101" s="36"/>
      <c r="D101" s="1">
        <v>0</v>
      </c>
      <c r="E101" s="101">
        <v>5271.0495698001669</v>
      </c>
      <c r="F101" s="4">
        <v>0</v>
      </c>
      <c r="G101" s="102">
        <v>1.3558671115168675</v>
      </c>
      <c r="H101" s="61">
        <v>100</v>
      </c>
      <c r="I101" s="62">
        <v>0</v>
      </c>
      <c r="J101" s="62">
        <v>70.893204017770472</v>
      </c>
      <c r="K101" s="62">
        <v>23.662179645216273</v>
      </c>
      <c r="L101" s="62">
        <v>4.5058171187584986</v>
      </c>
      <c r="M101" s="62">
        <v>0.8422996040655768</v>
      </c>
      <c r="N101" s="62">
        <v>9.6499614189024641E-2</v>
      </c>
      <c r="O101" s="62">
        <v>0</v>
      </c>
      <c r="P101" s="62">
        <v>0</v>
      </c>
    </row>
    <row r="102" spans="1:16" s="19" customFormat="1" ht="12.95" customHeight="1" x14ac:dyDescent="0.25">
      <c r="A102" s="37"/>
      <c r="B102" s="38" t="s">
        <v>127</v>
      </c>
      <c r="C102" s="36"/>
      <c r="D102" s="1">
        <v>0</v>
      </c>
      <c r="E102" s="101">
        <v>1030.3868162277051</v>
      </c>
      <c r="F102" s="4">
        <v>0</v>
      </c>
      <c r="G102" s="102">
        <v>1.1556849056775618</v>
      </c>
      <c r="H102" s="61">
        <v>100</v>
      </c>
      <c r="I102" s="62">
        <v>0</v>
      </c>
      <c r="J102" s="62">
        <v>86.777930706860559</v>
      </c>
      <c r="K102" s="62">
        <v>11.063669967703712</v>
      </c>
      <c r="L102" s="62">
        <v>1.9919169987081413</v>
      </c>
      <c r="M102" s="62">
        <v>0.1449427042742043</v>
      </c>
      <c r="N102" s="62">
        <v>2.1539622453378197E-2</v>
      </c>
      <c r="O102" s="62">
        <v>0</v>
      </c>
      <c r="P102" s="62">
        <v>0</v>
      </c>
    </row>
    <row r="103" spans="1:16" s="19" customFormat="1" ht="12.95" customHeight="1" x14ac:dyDescent="0.25">
      <c r="A103" s="37"/>
      <c r="B103" s="38" t="s">
        <v>12</v>
      </c>
      <c r="C103" s="36"/>
      <c r="D103" s="1">
        <v>0</v>
      </c>
      <c r="E103" s="101">
        <v>553.92089620882177</v>
      </c>
      <c r="F103" s="4">
        <v>0</v>
      </c>
      <c r="G103" s="102">
        <v>1.6175609312320696</v>
      </c>
      <c r="H103" s="61">
        <v>100</v>
      </c>
      <c r="I103" s="62">
        <v>0</v>
      </c>
      <c r="J103" s="62">
        <v>48.893486420508708</v>
      </c>
      <c r="K103" s="62">
        <v>44.985917113017891</v>
      </c>
      <c r="L103" s="62">
        <v>2.9194586411255457</v>
      </c>
      <c r="M103" s="62">
        <v>2.4829711264966901</v>
      </c>
      <c r="N103" s="62">
        <v>0.24843081667692701</v>
      </c>
      <c r="O103" s="62">
        <v>0.32979321130538036</v>
      </c>
      <c r="P103" s="62">
        <v>0.13994267086890905</v>
      </c>
    </row>
    <row r="104" spans="1:16" s="19" customFormat="1" ht="5.0999999999999996" customHeight="1" x14ac:dyDescent="0.25">
      <c r="A104" s="63"/>
      <c r="B104" s="64"/>
      <c r="C104" s="65"/>
      <c r="D104" s="105"/>
      <c r="E104" s="106"/>
      <c r="F104" s="107"/>
      <c r="G104" s="107"/>
      <c r="H104" s="67"/>
      <c r="I104" s="69"/>
      <c r="J104" s="69"/>
      <c r="K104" s="69"/>
      <c r="L104" s="69"/>
      <c r="M104" s="69"/>
      <c r="N104" s="69"/>
      <c r="O104" s="69"/>
      <c r="P104" s="69"/>
    </row>
    <row r="105" spans="1:16" s="19" customFormat="1" ht="5.0999999999999996" customHeight="1" x14ac:dyDescent="0.25">
      <c r="A105" s="30"/>
      <c r="B105" s="70"/>
      <c r="C105" s="108"/>
      <c r="D105" s="78"/>
      <c r="E105" s="79"/>
      <c r="F105" s="109"/>
      <c r="G105" s="109"/>
      <c r="H105" s="110"/>
      <c r="I105" s="71"/>
      <c r="J105" s="71"/>
      <c r="K105" s="71"/>
      <c r="L105" s="71"/>
      <c r="M105" s="71"/>
      <c r="N105" s="71"/>
      <c r="O105" s="71"/>
      <c r="P105" s="71"/>
    </row>
    <row r="106" spans="1:16" s="19" customFormat="1" ht="12.95" customHeight="1" x14ac:dyDescent="0.25">
      <c r="A106" s="37" t="s">
        <v>62</v>
      </c>
      <c r="B106" s="38"/>
      <c r="C106" s="36" t="s">
        <v>19</v>
      </c>
      <c r="D106" s="100"/>
      <c r="E106" s="101"/>
      <c r="F106" s="102"/>
      <c r="G106" s="102"/>
      <c r="H106" s="61"/>
      <c r="I106" s="62"/>
      <c r="J106" s="62"/>
      <c r="K106" s="62"/>
      <c r="L106" s="62"/>
      <c r="M106" s="62"/>
      <c r="N106" s="62"/>
      <c r="O106" s="62"/>
      <c r="P106" s="62"/>
    </row>
    <row r="107" spans="1:16" s="19" customFormat="1" ht="12" customHeight="1" x14ac:dyDescent="0.25">
      <c r="A107" s="37"/>
      <c r="B107" s="38" t="s">
        <v>129</v>
      </c>
      <c r="C107" s="36"/>
      <c r="D107" s="100">
        <v>24970.999999998672</v>
      </c>
      <c r="E107" s="101">
        <v>18681.171391806136</v>
      </c>
      <c r="F107" s="102">
        <v>2.0657570972020705</v>
      </c>
      <c r="G107" s="102">
        <v>2.7612840432937595</v>
      </c>
      <c r="H107" s="61">
        <v>100</v>
      </c>
      <c r="I107" s="62">
        <v>25.18853313120367</v>
      </c>
      <c r="J107" s="62">
        <v>0.92242562341964074</v>
      </c>
      <c r="K107" s="62">
        <v>48.619124074069688</v>
      </c>
      <c r="L107" s="62">
        <v>6.3796228517158893</v>
      </c>
      <c r="M107" s="62">
        <v>12.485848123939491</v>
      </c>
      <c r="N107" s="62">
        <v>2.2950427350659162</v>
      </c>
      <c r="O107" s="62">
        <v>2.5863339456776249</v>
      </c>
      <c r="P107" s="62">
        <v>1.5230695149082436</v>
      </c>
    </row>
    <row r="108" spans="1:16" s="19" customFormat="1" ht="12" customHeight="1" x14ac:dyDescent="0.25">
      <c r="A108" s="37"/>
      <c r="B108" s="38" t="s">
        <v>130</v>
      </c>
      <c r="C108" s="36"/>
      <c r="D108" s="100">
        <v>38732.999999999141</v>
      </c>
      <c r="E108" s="101">
        <v>30225.715094024323</v>
      </c>
      <c r="F108" s="102">
        <v>2.1283555722779823</v>
      </c>
      <c r="G108" s="102">
        <v>2.7273993725077932</v>
      </c>
      <c r="H108" s="61">
        <v>100</v>
      </c>
      <c r="I108" s="62">
        <v>21.963919412322838</v>
      </c>
      <c r="J108" s="62">
        <v>0.81251975729784709</v>
      </c>
      <c r="K108" s="62">
        <v>51.865920886548217</v>
      </c>
      <c r="L108" s="62">
        <v>5.8042299824987049</v>
      </c>
      <c r="M108" s="62">
        <v>13.576036156107813</v>
      </c>
      <c r="N108" s="62">
        <v>1.9669526161799871</v>
      </c>
      <c r="O108" s="62">
        <v>2.6343761896165501</v>
      </c>
      <c r="P108" s="62">
        <v>1.3760449994273556</v>
      </c>
    </row>
    <row r="109" spans="1:16" s="19" customFormat="1" ht="12" customHeight="1" x14ac:dyDescent="0.25">
      <c r="A109" s="37"/>
      <c r="B109" s="38" t="s">
        <v>131</v>
      </c>
      <c r="C109" s="36"/>
      <c r="D109" s="100">
        <v>39899.999999999993</v>
      </c>
      <c r="E109" s="101">
        <v>29872.683606064089</v>
      </c>
      <c r="F109" s="102">
        <v>2.0764145515185373</v>
      </c>
      <c r="G109" s="102">
        <v>2.7734013354184044</v>
      </c>
      <c r="H109" s="61">
        <v>100</v>
      </c>
      <c r="I109" s="62">
        <v>25.131118781794257</v>
      </c>
      <c r="J109" s="62">
        <v>0.85125228256333696</v>
      </c>
      <c r="K109" s="62">
        <v>48.865592975407743</v>
      </c>
      <c r="L109" s="62">
        <v>5.7161571629005774</v>
      </c>
      <c r="M109" s="62">
        <v>12.772542996002198</v>
      </c>
      <c r="N109" s="62">
        <v>2.1414888768734266</v>
      </c>
      <c r="O109" s="62">
        <v>2.8953918471258278</v>
      </c>
      <c r="P109" s="62">
        <v>1.6264550773326281</v>
      </c>
    </row>
    <row r="110" spans="1:16" s="19" customFormat="1" ht="12" customHeight="1" x14ac:dyDescent="0.25">
      <c r="A110" s="37"/>
      <c r="B110" s="38" t="s">
        <v>132</v>
      </c>
      <c r="C110" s="36"/>
      <c r="D110" s="100">
        <v>39907.000000000378</v>
      </c>
      <c r="E110" s="101">
        <v>30432.519243573381</v>
      </c>
      <c r="F110" s="102">
        <v>2.0728362694789126</v>
      </c>
      <c r="G110" s="102">
        <v>2.7181672455054597</v>
      </c>
      <c r="H110" s="61">
        <v>100</v>
      </c>
      <c r="I110" s="62">
        <v>23.741400647572888</v>
      </c>
      <c r="J110" s="62">
        <v>1.0798384823097182</v>
      </c>
      <c r="K110" s="62">
        <v>49.594733519514399</v>
      </c>
      <c r="L110" s="62">
        <v>7.8782196503048194</v>
      </c>
      <c r="M110" s="62">
        <v>11.577643206367265</v>
      </c>
      <c r="N110" s="62">
        <v>2.2041708185716389</v>
      </c>
      <c r="O110" s="62">
        <v>2.6661312513833679</v>
      </c>
      <c r="P110" s="62">
        <v>1.2578624239753244</v>
      </c>
    </row>
    <row r="111" spans="1:16" s="19" customFormat="1" ht="12" customHeight="1" x14ac:dyDescent="0.25">
      <c r="A111" s="37"/>
      <c r="B111" s="38" t="s">
        <v>133</v>
      </c>
      <c r="C111" s="36"/>
      <c r="D111" s="100">
        <v>38267.999999998843</v>
      </c>
      <c r="E111" s="101">
        <v>29397.221934808134</v>
      </c>
      <c r="F111" s="102">
        <v>2.052093590340875</v>
      </c>
      <c r="G111" s="102">
        <v>2.6713244431501337</v>
      </c>
      <c r="H111" s="61">
        <v>100</v>
      </c>
      <c r="I111" s="62">
        <v>23.180668091332123</v>
      </c>
      <c r="J111" s="62">
        <v>1.1010958015967687</v>
      </c>
      <c r="K111" s="62">
        <v>50.72830315549345</v>
      </c>
      <c r="L111" s="62">
        <v>8.7299665539694047</v>
      </c>
      <c r="M111" s="62">
        <v>10.758618852980817</v>
      </c>
      <c r="N111" s="62">
        <v>2.0046694357351633</v>
      </c>
      <c r="O111" s="62">
        <v>2.2900982152575278</v>
      </c>
      <c r="P111" s="62">
        <v>1.2065798936345156</v>
      </c>
    </row>
    <row r="112" spans="1:16" s="19" customFormat="1" ht="12" customHeight="1" x14ac:dyDescent="0.25">
      <c r="A112" s="37"/>
      <c r="B112" s="38" t="s">
        <v>134</v>
      </c>
      <c r="C112" s="36"/>
      <c r="D112" s="100">
        <v>38272.999999999243</v>
      </c>
      <c r="E112" s="101">
        <v>29646.157936839121</v>
      </c>
      <c r="F112" s="102">
        <v>2.1302786918817769</v>
      </c>
      <c r="G112" s="102">
        <v>2.7501761458632576</v>
      </c>
      <c r="H112" s="61">
        <v>100</v>
      </c>
      <c r="I112" s="62">
        <v>22.540281825726467</v>
      </c>
      <c r="J112" s="62">
        <v>0.95990369713649626</v>
      </c>
      <c r="K112" s="62">
        <v>50.72308007655522</v>
      </c>
      <c r="L112" s="62">
        <v>6.3688060333421781</v>
      </c>
      <c r="M112" s="62">
        <v>12.765697275076946</v>
      </c>
      <c r="N112" s="62">
        <v>2.3498217357965037</v>
      </c>
      <c r="O112" s="62">
        <v>2.8329812938810961</v>
      </c>
      <c r="P112" s="62">
        <v>1.4594280624857054</v>
      </c>
    </row>
    <row r="113" spans="1:16" s="19" customFormat="1" ht="12" customHeight="1" x14ac:dyDescent="0.25">
      <c r="A113" s="37"/>
      <c r="B113" s="38" t="s">
        <v>135</v>
      </c>
      <c r="C113" s="36"/>
      <c r="D113" s="100">
        <v>39101.00000000195</v>
      </c>
      <c r="E113" s="101">
        <v>29607.162706923256</v>
      </c>
      <c r="F113" s="102">
        <v>2.070827115817087</v>
      </c>
      <c r="G113" s="102">
        <v>2.7348588534839187</v>
      </c>
      <c r="H113" s="61">
        <v>100</v>
      </c>
      <c r="I113" s="62">
        <v>24.280292813683076</v>
      </c>
      <c r="J113" s="62">
        <v>1.4049240727829408</v>
      </c>
      <c r="K113" s="62">
        <v>49.621089754080799</v>
      </c>
      <c r="L113" s="62">
        <v>5.8451222471414779</v>
      </c>
      <c r="M113" s="62">
        <v>12.454729556760137</v>
      </c>
      <c r="N113" s="62">
        <v>2.2657449171326722</v>
      </c>
      <c r="O113" s="62">
        <v>2.5699433030676229</v>
      </c>
      <c r="P113" s="62">
        <v>1.5581533353489774</v>
      </c>
    </row>
    <row r="114" spans="1:16" s="19" customFormat="1" ht="12" customHeight="1" x14ac:dyDescent="0.25">
      <c r="A114" s="37"/>
      <c r="B114" s="38" t="s">
        <v>136</v>
      </c>
      <c r="C114" s="36"/>
      <c r="D114" s="100">
        <v>40246.000000000146</v>
      </c>
      <c r="E114" s="101">
        <v>30541.049878770918</v>
      </c>
      <c r="F114" s="102">
        <v>2.0568214350338665</v>
      </c>
      <c r="G114" s="102">
        <v>2.7104122419810084</v>
      </c>
      <c r="H114" s="61">
        <v>100</v>
      </c>
      <c r="I114" s="62">
        <v>24.114073749513466</v>
      </c>
      <c r="J114" s="62">
        <v>1.8710023137918901</v>
      </c>
      <c r="K114" s="62">
        <v>49.733555216554642</v>
      </c>
      <c r="L114" s="62">
        <v>5.6445081327956643</v>
      </c>
      <c r="M114" s="62">
        <v>12.523922683333605</v>
      </c>
      <c r="N114" s="62">
        <v>2.1368405421058481</v>
      </c>
      <c r="O114" s="62">
        <v>2.5045247837233111</v>
      </c>
      <c r="P114" s="62">
        <v>1.4715725781817772</v>
      </c>
    </row>
    <row r="115" spans="1:16" s="19" customFormat="1" ht="12" customHeight="1" x14ac:dyDescent="0.25">
      <c r="A115" s="37"/>
      <c r="B115" s="38" t="s">
        <v>192</v>
      </c>
      <c r="C115" s="36"/>
      <c r="D115" s="100">
        <v>37337.000000000378</v>
      </c>
      <c r="E115" s="101">
        <v>28456.740211754342</v>
      </c>
      <c r="F115" s="102">
        <v>2.0297123506099886</v>
      </c>
      <c r="G115" s="102">
        <v>2.6631079129514221</v>
      </c>
      <c r="H115" s="61">
        <v>100</v>
      </c>
      <c r="I115" s="62">
        <v>23.78407421122732</v>
      </c>
      <c r="J115" s="62">
        <v>2.1541221059969549</v>
      </c>
      <c r="K115" s="62">
        <v>50.413421364644854</v>
      </c>
      <c r="L115" s="62">
        <v>6.4405885538480918</v>
      </c>
      <c r="M115" s="62">
        <v>11.055376246081721</v>
      </c>
      <c r="N115" s="62">
        <v>2.6494667708930995</v>
      </c>
      <c r="O115" s="62">
        <v>2.3754669016940779</v>
      </c>
      <c r="P115" s="62">
        <v>1.1274838456154053</v>
      </c>
    </row>
    <row r="116" spans="1:16" s="19" customFormat="1" ht="12" customHeight="1" x14ac:dyDescent="0.25">
      <c r="A116" s="37"/>
      <c r="B116" s="38" t="s">
        <v>194</v>
      </c>
      <c r="C116" s="36"/>
      <c r="D116" s="100">
        <v>37791.999999974512</v>
      </c>
      <c r="E116" s="101">
        <v>27723.181408277604</v>
      </c>
      <c r="F116" s="102">
        <v>1.961988323297174</v>
      </c>
      <c r="G116" s="102">
        <v>2.6745654339605411</v>
      </c>
      <c r="H116" s="61">
        <v>100</v>
      </c>
      <c r="I116" s="62">
        <v>26.642724893374499</v>
      </c>
      <c r="J116" s="62">
        <v>2.971082412731314</v>
      </c>
      <c r="K116" s="62">
        <v>47.85491199066422</v>
      </c>
      <c r="L116" s="62">
        <v>5.9740961137885673</v>
      </c>
      <c r="M116" s="62">
        <v>10.219528663543066</v>
      </c>
      <c r="N116" s="62">
        <v>2.0124238068090756</v>
      </c>
      <c r="O116" s="62">
        <v>2.8494011253976037</v>
      </c>
      <c r="P116" s="62">
        <v>1.4758309936936358</v>
      </c>
    </row>
    <row r="117" spans="1:16" s="19" customFormat="1" ht="12" customHeight="1" x14ac:dyDescent="0.25">
      <c r="A117" s="37"/>
      <c r="B117" s="38" t="s">
        <v>205</v>
      </c>
      <c r="C117" s="36"/>
      <c r="D117" s="100">
        <f t="shared" ref="D117:P117" si="0">D$9</f>
        <v>34236.000000002343</v>
      </c>
      <c r="E117" s="101">
        <f>E$9</f>
        <v>26053.682688391149</v>
      </c>
      <c r="F117" s="102">
        <f t="shared" si="0"/>
        <v>2.0624760585266415</v>
      </c>
      <c r="G117" s="102">
        <f t="shared" si="0"/>
        <v>2.710209193235678</v>
      </c>
      <c r="H117" s="61">
        <f t="shared" si="0"/>
        <v>100</v>
      </c>
      <c r="I117" s="62">
        <f t="shared" si="0"/>
        <v>23.899746791706477</v>
      </c>
      <c r="J117" s="62">
        <f t="shared" si="0"/>
        <v>2.4133546573918898</v>
      </c>
      <c r="K117" s="62">
        <f t="shared" si="0"/>
        <v>48.912330889191878</v>
      </c>
      <c r="L117" s="62">
        <f t="shared" si="0"/>
        <v>7.8071388589031816</v>
      </c>
      <c r="M117" s="62">
        <f t="shared" si="0"/>
        <v>10.131159964697998</v>
      </c>
      <c r="N117" s="62">
        <f t="shared" si="0"/>
        <v>2.2798156426827267</v>
      </c>
      <c r="O117" s="62">
        <f t="shared" si="0"/>
        <v>2.7527623886298862</v>
      </c>
      <c r="P117" s="62">
        <f t="shared" si="0"/>
        <v>1.8036908067887509</v>
      </c>
    </row>
    <row r="118" spans="1:16" ht="5.0999999999999996" customHeight="1" x14ac:dyDescent="0.25">
      <c r="A118" s="39"/>
      <c r="B118" s="125"/>
      <c r="C118" s="82"/>
      <c r="D118" s="114"/>
      <c r="E118" s="115"/>
      <c r="F118" s="116"/>
      <c r="G118" s="116"/>
      <c r="H118" s="117"/>
      <c r="I118" s="118"/>
      <c r="J118" s="118"/>
      <c r="K118" s="118"/>
      <c r="L118" s="118"/>
      <c r="M118" s="118"/>
      <c r="N118" s="118"/>
      <c r="O118" s="118"/>
      <c r="P118" s="118"/>
    </row>
  </sheetData>
  <mergeCells count="15">
    <mergeCell ref="F5:G6"/>
    <mergeCell ref="P6:P7"/>
    <mergeCell ref="A2:P2"/>
    <mergeCell ref="A1:P1"/>
    <mergeCell ref="A3:P3"/>
    <mergeCell ref="A5:C7"/>
    <mergeCell ref="H5:H7"/>
    <mergeCell ref="D5:E6"/>
    <mergeCell ref="J6:J7"/>
    <mergeCell ref="K6:K7"/>
    <mergeCell ref="L6:L7"/>
    <mergeCell ref="M6:M7"/>
    <mergeCell ref="N6:N7"/>
    <mergeCell ref="O6:O7"/>
    <mergeCell ref="I6:I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89" orientation="portrait" r:id="rId1"/>
  <headerFooter alignWithMargins="0"/>
  <rowBreaks count="1" manualBreakCount="1">
    <brk id="5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55DB-5C4E-49DF-BB26-52161BB37477}">
  <sheetPr codeName="工作表34"/>
  <dimension ref="A1:M102"/>
  <sheetViews>
    <sheetView showGridLines="0" view="pageBreakPreview" zoomScale="130" zoomScaleNormal="100" zoomScaleSheetLayoutView="130" workbookViewId="0">
      <selection sqref="A1:M1"/>
    </sheetView>
  </sheetViews>
  <sheetFormatPr defaultColWidth="9" defaultRowHeight="11.1" customHeight="1" x14ac:dyDescent="0.25"/>
  <cols>
    <col min="1" max="1" width="1.875" style="18" customWidth="1"/>
    <col min="2" max="2" width="13.75" style="44" customWidth="1"/>
    <col min="3" max="3" width="1.625" style="45" customWidth="1"/>
    <col min="4" max="4" width="7.125" style="88" customWidth="1"/>
    <col min="5" max="5" width="6.875" style="91" customWidth="1"/>
    <col min="6" max="13" width="6.875" style="47" customWidth="1"/>
    <col min="14" max="16384" width="9" style="46"/>
  </cols>
  <sheetData>
    <row r="1" spans="1:13" s="14" customFormat="1" ht="22.15" customHeight="1" x14ac:dyDescent="0.25">
      <c r="A1" s="255" t="s">
        <v>201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3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3" spans="1:13" s="19" customFormat="1" ht="13.5" customHeight="1" x14ac:dyDescent="0.25">
      <c r="A3" s="257" t="s">
        <v>101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122" customFormat="1" ht="13.5" x14ac:dyDescent="0.25">
      <c r="A4" s="24"/>
      <c r="B4" s="24"/>
      <c r="C4" s="24"/>
      <c r="D4" s="119"/>
      <c r="E4" s="99"/>
      <c r="F4" s="120"/>
      <c r="G4" s="121"/>
      <c r="H4" s="121"/>
      <c r="I4" s="121"/>
      <c r="J4" s="121"/>
      <c r="K4" s="121"/>
      <c r="L4" s="121"/>
      <c r="M4" s="76" t="s">
        <v>138</v>
      </c>
    </row>
    <row r="5" spans="1:13" s="19" customFormat="1" ht="7.5" customHeight="1" x14ac:dyDescent="0.25">
      <c r="A5" s="258" t="s">
        <v>21</v>
      </c>
      <c r="B5" s="258"/>
      <c r="C5" s="259"/>
      <c r="D5" s="259" t="s">
        <v>312</v>
      </c>
      <c r="E5" s="295" t="s">
        <v>71</v>
      </c>
      <c r="F5" s="264" t="s">
        <v>81</v>
      </c>
      <c r="G5" s="51"/>
      <c r="H5" s="51"/>
      <c r="I5" s="51"/>
      <c r="J5" s="51"/>
      <c r="K5" s="51"/>
      <c r="L5" s="51"/>
      <c r="M5" s="51"/>
    </row>
    <row r="6" spans="1:13" s="19" customFormat="1" ht="16.5" customHeight="1" x14ac:dyDescent="0.25">
      <c r="A6" s="260"/>
      <c r="B6" s="260"/>
      <c r="C6" s="261"/>
      <c r="D6" s="261"/>
      <c r="E6" s="296"/>
      <c r="F6" s="265"/>
      <c r="G6" s="270" t="s">
        <v>139</v>
      </c>
      <c r="H6" s="270" t="s">
        <v>140</v>
      </c>
      <c r="I6" s="270" t="s">
        <v>141</v>
      </c>
      <c r="J6" s="270" t="s">
        <v>142</v>
      </c>
      <c r="K6" s="270" t="s">
        <v>128</v>
      </c>
      <c r="L6" s="270" t="s">
        <v>143</v>
      </c>
      <c r="M6" s="272" t="s">
        <v>137</v>
      </c>
    </row>
    <row r="7" spans="1:13" s="19" customFormat="1" ht="25.5" customHeight="1" x14ac:dyDescent="0.25">
      <c r="A7" s="262"/>
      <c r="B7" s="262"/>
      <c r="C7" s="263"/>
      <c r="D7" s="263"/>
      <c r="E7" s="297"/>
      <c r="F7" s="266"/>
      <c r="G7" s="271"/>
      <c r="H7" s="271"/>
      <c r="I7" s="271"/>
      <c r="J7" s="271"/>
      <c r="K7" s="271"/>
      <c r="L7" s="271"/>
      <c r="M7" s="273"/>
    </row>
    <row r="8" spans="1:13" s="19" customFormat="1" ht="4.5" customHeight="1" x14ac:dyDescent="0.25">
      <c r="A8" s="30"/>
      <c r="B8" s="31"/>
      <c r="C8" s="77"/>
      <c r="D8" s="79"/>
      <c r="E8" s="90"/>
      <c r="F8" s="80"/>
      <c r="G8" s="81"/>
      <c r="H8" s="81"/>
      <c r="I8" s="81"/>
      <c r="J8" s="81"/>
      <c r="K8" s="81"/>
      <c r="L8" s="81"/>
      <c r="M8" s="81"/>
    </row>
    <row r="9" spans="1:13" s="18" customFormat="1" ht="12.75" customHeight="1" x14ac:dyDescent="0.25">
      <c r="A9" s="33" t="s">
        <v>22</v>
      </c>
      <c r="B9" s="54"/>
      <c r="C9" s="55"/>
      <c r="D9" s="101">
        <v>64887.920295731092</v>
      </c>
      <c r="E9" s="123">
        <v>24.190627400883123</v>
      </c>
      <c r="F9" s="57">
        <v>100</v>
      </c>
      <c r="G9" s="58">
        <v>16.229779922465582</v>
      </c>
      <c r="H9" s="58">
        <v>37.201974054689096</v>
      </c>
      <c r="I9" s="58">
        <v>16.035287510102869</v>
      </c>
      <c r="J9" s="58">
        <v>13.477972211272411</v>
      </c>
      <c r="K9" s="58">
        <v>6.4414856777395251</v>
      </c>
      <c r="L9" s="58">
        <v>2.2805038859262261</v>
      </c>
      <c r="M9" s="58">
        <v>8.3329967377990286</v>
      </c>
    </row>
    <row r="10" spans="1:13" s="19" customFormat="1" ht="12" customHeight="1" x14ac:dyDescent="0.25">
      <c r="A10" s="37" t="s">
        <v>23</v>
      </c>
      <c r="B10" s="38"/>
      <c r="C10" s="36" t="s">
        <v>19</v>
      </c>
      <c r="D10" s="101"/>
      <c r="E10" s="124"/>
      <c r="F10" s="61"/>
      <c r="G10" s="62"/>
      <c r="H10" s="62"/>
      <c r="I10" s="62"/>
      <c r="J10" s="62"/>
      <c r="K10" s="62"/>
      <c r="L10" s="62"/>
      <c r="M10" s="62"/>
    </row>
    <row r="11" spans="1:13" s="19" customFormat="1" ht="12" customHeight="1" x14ac:dyDescent="0.25">
      <c r="A11" s="37"/>
      <c r="B11" s="38" t="s">
        <v>24</v>
      </c>
      <c r="C11" s="36"/>
      <c r="D11" s="101">
        <v>10210.239274264375</v>
      </c>
      <c r="E11" s="124">
        <v>29.282729904857348</v>
      </c>
      <c r="F11" s="61">
        <v>100</v>
      </c>
      <c r="G11" s="62">
        <v>9.0771301309989543</v>
      </c>
      <c r="H11" s="62">
        <v>30.915462436344274</v>
      </c>
      <c r="I11" s="62">
        <v>15.91065929267679</v>
      </c>
      <c r="J11" s="62">
        <v>17.60875195477292</v>
      </c>
      <c r="K11" s="62">
        <v>9.9734171947621491</v>
      </c>
      <c r="L11" s="62">
        <v>3.7730932831053368</v>
      </c>
      <c r="M11" s="62">
        <v>12.741485707339669</v>
      </c>
    </row>
    <row r="12" spans="1:13" s="19" customFormat="1" ht="12" customHeight="1" x14ac:dyDescent="0.25">
      <c r="A12" s="37"/>
      <c r="B12" s="38" t="s">
        <v>25</v>
      </c>
      <c r="C12" s="36"/>
      <c r="D12" s="101">
        <v>6687.6994918350638</v>
      </c>
      <c r="E12" s="124">
        <v>26.330516166259642</v>
      </c>
      <c r="F12" s="61">
        <v>100</v>
      </c>
      <c r="G12" s="62">
        <v>8.6608822611025662</v>
      </c>
      <c r="H12" s="62">
        <v>35.666810557580845</v>
      </c>
      <c r="I12" s="62">
        <v>19.731684446657638</v>
      </c>
      <c r="J12" s="62">
        <v>15.02940601165788</v>
      </c>
      <c r="K12" s="62">
        <v>8.655378666951334</v>
      </c>
      <c r="L12" s="62">
        <v>3.8582743136701056</v>
      </c>
      <c r="M12" s="62">
        <v>8.3975637423797007</v>
      </c>
    </row>
    <row r="13" spans="1:13" s="19" customFormat="1" ht="12" customHeight="1" x14ac:dyDescent="0.25">
      <c r="A13" s="37"/>
      <c r="B13" s="38" t="s">
        <v>26</v>
      </c>
      <c r="C13" s="36"/>
      <c r="D13" s="101">
        <v>6683.0380345021513</v>
      </c>
      <c r="E13" s="124">
        <v>26.518240801119937</v>
      </c>
      <c r="F13" s="61">
        <v>100</v>
      </c>
      <c r="G13" s="62">
        <v>15.031316178224698</v>
      </c>
      <c r="H13" s="62">
        <v>34.255036695258511</v>
      </c>
      <c r="I13" s="62">
        <v>15.706097410213287</v>
      </c>
      <c r="J13" s="62">
        <v>12.226764092901924</v>
      </c>
      <c r="K13" s="62">
        <v>7.2236376828626661</v>
      </c>
      <c r="L13" s="62">
        <v>3.2080373320687858</v>
      </c>
      <c r="M13" s="62">
        <v>12.349110608470561</v>
      </c>
    </row>
    <row r="14" spans="1:13" s="19" customFormat="1" ht="12" customHeight="1" x14ac:dyDescent="0.25">
      <c r="A14" s="37"/>
      <c r="B14" s="38" t="s">
        <v>27</v>
      </c>
      <c r="C14" s="36"/>
      <c r="D14" s="101">
        <v>7032.3983541608541</v>
      </c>
      <c r="E14" s="124">
        <v>25.309385550690216</v>
      </c>
      <c r="F14" s="61">
        <v>100</v>
      </c>
      <c r="G14" s="62">
        <v>15.687641348429686</v>
      </c>
      <c r="H14" s="62">
        <v>38.550716107001662</v>
      </c>
      <c r="I14" s="62">
        <v>16.806604225392487</v>
      </c>
      <c r="J14" s="62">
        <v>15.324712288392533</v>
      </c>
      <c r="K14" s="62">
        <v>5.3150855928631033</v>
      </c>
      <c r="L14" s="62">
        <v>1.3351502564803415</v>
      </c>
      <c r="M14" s="62">
        <v>6.980090181440211</v>
      </c>
    </row>
    <row r="15" spans="1:13" s="19" customFormat="1" ht="12" customHeight="1" x14ac:dyDescent="0.25">
      <c r="A15" s="37"/>
      <c r="B15" s="38" t="s">
        <v>28</v>
      </c>
      <c r="C15" s="36"/>
      <c r="D15" s="101">
        <v>5905.217535680903</v>
      </c>
      <c r="E15" s="124">
        <v>20.81575304019734</v>
      </c>
      <c r="F15" s="61">
        <v>100</v>
      </c>
      <c r="G15" s="62">
        <v>19.800464677955663</v>
      </c>
      <c r="H15" s="62">
        <v>40.412918250945332</v>
      </c>
      <c r="I15" s="62">
        <v>16.112829505119581</v>
      </c>
      <c r="J15" s="62">
        <v>11.656837219466803</v>
      </c>
      <c r="K15" s="62">
        <v>5.6037041849687022</v>
      </c>
      <c r="L15" s="62">
        <v>1.4606619874613564</v>
      </c>
      <c r="M15" s="62">
        <v>4.9525841740823147</v>
      </c>
    </row>
    <row r="16" spans="1:13" s="19" customFormat="1" ht="12" customHeight="1" x14ac:dyDescent="0.25">
      <c r="A16" s="37"/>
      <c r="B16" s="38" t="s">
        <v>29</v>
      </c>
      <c r="C16" s="36"/>
      <c r="D16" s="101">
        <v>8427.3613606957624</v>
      </c>
      <c r="E16" s="124">
        <v>23.714546986333566</v>
      </c>
      <c r="F16" s="61">
        <v>100</v>
      </c>
      <c r="G16" s="62">
        <v>18.831877074269844</v>
      </c>
      <c r="H16" s="62">
        <v>37.075671329278862</v>
      </c>
      <c r="I16" s="62">
        <v>16.626005570055856</v>
      </c>
      <c r="J16" s="62">
        <v>12.482595183150988</v>
      </c>
      <c r="K16" s="62">
        <v>5.7966980177885192</v>
      </c>
      <c r="L16" s="62">
        <v>1.611897259408815</v>
      </c>
      <c r="M16" s="62">
        <v>7.5752555660472796</v>
      </c>
    </row>
    <row r="17" spans="1:13" s="19" customFormat="1" ht="12" customHeight="1" x14ac:dyDescent="0.25">
      <c r="A17" s="37"/>
      <c r="B17" s="38" t="s">
        <v>30</v>
      </c>
      <c r="C17" s="36"/>
      <c r="D17" s="101">
        <v>1393.4105380939884</v>
      </c>
      <c r="E17" s="124">
        <v>21.976586658580334</v>
      </c>
      <c r="F17" s="61">
        <v>100</v>
      </c>
      <c r="G17" s="62">
        <v>13.478339735107211</v>
      </c>
      <c r="H17" s="62">
        <v>47.600015302485019</v>
      </c>
      <c r="I17" s="62">
        <v>14.586546809917225</v>
      </c>
      <c r="J17" s="62">
        <v>11.360890935529246</v>
      </c>
      <c r="K17" s="62">
        <v>2.8699665000197303</v>
      </c>
      <c r="L17" s="62">
        <v>1.2251179205300868</v>
      </c>
      <c r="M17" s="62">
        <v>8.8791227964124833</v>
      </c>
    </row>
    <row r="18" spans="1:13" s="19" customFormat="1" ht="12" customHeight="1" x14ac:dyDescent="0.25">
      <c r="A18" s="37"/>
      <c r="B18" s="38" t="s">
        <v>31</v>
      </c>
      <c r="C18" s="36"/>
      <c r="D18" s="101">
        <v>1667.8871299640866</v>
      </c>
      <c r="E18" s="124">
        <v>22.668112916663208</v>
      </c>
      <c r="F18" s="61">
        <v>100</v>
      </c>
      <c r="G18" s="62">
        <v>19.510266025934765</v>
      </c>
      <c r="H18" s="62">
        <v>37.270432090176079</v>
      </c>
      <c r="I18" s="62">
        <v>14.219840185031863</v>
      </c>
      <c r="J18" s="62">
        <v>13.933011154362434</v>
      </c>
      <c r="K18" s="62">
        <v>5.7806282584743345</v>
      </c>
      <c r="L18" s="62">
        <v>2.1523617166282345</v>
      </c>
      <c r="M18" s="62">
        <v>7.1334605693908708</v>
      </c>
    </row>
    <row r="19" spans="1:13" s="19" customFormat="1" ht="12" customHeight="1" x14ac:dyDescent="0.25">
      <c r="A19" s="37"/>
      <c r="B19" s="38" t="s">
        <v>32</v>
      </c>
      <c r="C19" s="36"/>
      <c r="D19" s="101">
        <v>1562.8198982429024</v>
      </c>
      <c r="E19" s="124">
        <v>20.331797132832587</v>
      </c>
      <c r="F19" s="61">
        <v>100</v>
      </c>
      <c r="G19" s="62">
        <v>18.668590450314873</v>
      </c>
      <c r="H19" s="62">
        <v>45.253286003646842</v>
      </c>
      <c r="I19" s="62">
        <v>12.727718773337072</v>
      </c>
      <c r="J19" s="62">
        <v>9.9668295690214617</v>
      </c>
      <c r="K19" s="62">
        <v>5.3586306701468862</v>
      </c>
      <c r="L19" s="62">
        <v>1.1398299824410181</v>
      </c>
      <c r="M19" s="62">
        <v>6.8851145510916449</v>
      </c>
    </row>
    <row r="20" spans="1:13" s="19" customFormat="1" ht="12" customHeight="1" x14ac:dyDescent="0.25">
      <c r="A20" s="37"/>
      <c r="B20" s="38" t="s">
        <v>33</v>
      </c>
      <c r="C20" s="36"/>
      <c r="D20" s="101">
        <v>2953.9697623671764</v>
      </c>
      <c r="E20" s="124">
        <v>20.827847536993147</v>
      </c>
      <c r="F20" s="61">
        <v>100</v>
      </c>
      <c r="G20" s="62">
        <v>20.022001614203898</v>
      </c>
      <c r="H20" s="62">
        <v>38.582557073258478</v>
      </c>
      <c r="I20" s="62">
        <v>15.167493146357355</v>
      </c>
      <c r="J20" s="62">
        <v>12.980976537922238</v>
      </c>
      <c r="K20" s="62">
        <v>5.9153111915716234</v>
      </c>
      <c r="L20" s="62">
        <v>2.1452874028785374</v>
      </c>
      <c r="M20" s="62">
        <v>5.1863730338076159</v>
      </c>
    </row>
    <row r="21" spans="1:13" s="19" customFormat="1" ht="12" customHeight="1" x14ac:dyDescent="0.25">
      <c r="A21" s="37"/>
      <c r="B21" s="38" t="s">
        <v>34</v>
      </c>
      <c r="C21" s="36"/>
      <c r="D21" s="101">
        <v>1463.8493177621353</v>
      </c>
      <c r="E21" s="124">
        <v>20.680662056941667</v>
      </c>
      <c r="F21" s="61">
        <v>100</v>
      </c>
      <c r="G21" s="62">
        <v>24.322311917046623</v>
      </c>
      <c r="H21" s="62">
        <v>37.640317443112849</v>
      </c>
      <c r="I21" s="62">
        <v>11.915138170241391</v>
      </c>
      <c r="J21" s="62">
        <v>12.275827597408144</v>
      </c>
      <c r="K21" s="62">
        <v>4.9270933818384082</v>
      </c>
      <c r="L21" s="62">
        <v>2.0338675402130968</v>
      </c>
      <c r="M21" s="62">
        <v>6.8854439501381828</v>
      </c>
    </row>
    <row r="22" spans="1:13" s="19" customFormat="1" ht="12" customHeight="1" x14ac:dyDescent="0.25">
      <c r="A22" s="37"/>
      <c r="B22" s="38" t="s">
        <v>35</v>
      </c>
      <c r="C22" s="36"/>
      <c r="D22" s="101">
        <v>1999.8919190455126</v>
      </c>
      <c r="E22" s="124">
        <v>19.041031619741965</v>
      </c>
      <c r="F22" s="61">
        <v>100</v>
      </c>
      <c r="G22" s="62">
        <v>27.569582199685229</v>
      </c>
      <c r="H22" s="62">
        <v>37.894975017388141</v>
      </c>
      <c r="I22" s="62">
        <v>12.006124851320111</v>
      </c>
      <c r="J22" s="62">
        <v>10.621391756196493</v>
      </c>
      <c r="K22" s="62">
        <v>4.1896122558981661</v>
      </c>
      <c r="L22" s="62">
        <v>1.4242036019618991</v>
      </c>
      <c r="M22" s="62">
        <v>6.2941103175502837</v>
      </c>
    </row>
    <row r="23" spans="1:13" s="19" customFormat="1" ht="12" customHeight="1" x14ac:dyDescent="0.25">
      <c r="A23" s="37"/>
      <c r="B23" s="38" t="s">
        <v>36</v>
      </c>
      <c r="C23" s="36"/>
      <c r="D23" s="101">
        <v>1366.4926183632108</v>
      </c>
      <c r="E23" s="124">
        <v>21.051708100342829</v>
      </c>
      <c r="F23" s="61">
        <v>100</v>
      </c>
      <c r="G23" s="62">
        <v>23.463610046121268</v>
      </c>
      <c r="H23" s="62">
        <v>37.204776529902468</v>
      </c>
      <c r="I23" s="62">
        <v>17.485620354227727</v>
      </c>
      <c r="J23" s="62">
        <v>11.597719070123267</v>
      </c>
      <c r="K23" s="62">
        <v>1.7107576774505893</v>
      </c>
      <c r="L23" s="62">
        <v>1.8930470596215097</v>
      </c>
      <c r="M23" s="62">
        <v>6.6444692625529322</v>
      </c>
    </row>
    <row r="24" spans="1:13" s="19" customFormat="1" ht="12" customHeight="1" x14ac:dyDescent="0.25">
      <c r="A24" s="37"/>
      <c r="B24" s="38" t="s">
        <v>37</v>
      </c>
      <c r="C24" s="36"/>
      <c r="D24" s="101">
        <v>1906.8710102733005</v>
      </c>
      <c r="E24" s="124">
        <v>20.890011735552488</v>
      </c>
      <c r="F24" s="61">
        <v>100</v>
      </c>
      <c r="G24" s="62">
        <v>22.329582591816809</v>
      </c>
      <c r="H24" s="62">
        <v>38.296449883735754</v>
      </c>
      <c r="I24" s="62">
        <v>13.611484646422916</v>
      </c>
      <c r="J24" s="62">
        <v>13.506450510362178</v>
      </c>
      <c r="K24" s="62">
        <v>5.4763246103415808</v>
      </c>
      <c r="L24" s="62">
        <v>1.2832197293131193</v>
      </c>
      <c r="M24" s="62">
        <v>5.4964880280077857</v>
      </c>
    </row>
    <row r="25" spans="1:13" s="19" customFormat="1" ht="12" customHeight="1" x14ac:dyDescent="0.25">
      <c r="A25" s="37"/>
      <c r="B25" s="38" t="s">
        <v>38</v>
      </c>
      <c r="C25" s="36"/>
      <c r="D25" s="101">
        <v>559.52962272557784</v>
      </c>
      <c r="E25" s="124">
        <v>20.026202197532147</v>
      </c>
      <c r="F25" s="61">
        <v>100</v>
      </c>
      <c r="G25" s="62">
        <v>29.810142407627183</v>
      </c>
      <c r="H25" s="62">
        <v>40.82736175981902</v>
      </c>
      <c r="I25" s="62">
        <v>11.801169703758822</v>
      </c>
      <c r="J25" s="62">
        <v>7.8753815866286132</v>
      </c>
      <c r="K25" s="62">
        <v>3.206843121494932</v>
      </c>
      <c r="L25" s="62">
        <v>0.81750773750989403</v>
      </c>
      <c r="M25" s="62">
        <v>5.6615936831613132</v>
      </c>
    </row>
    <row r="26" spans="1:13" s="19" customFormat="1" ht="12" customHeight="1" x14ac:dyDescent="0.25">
      <c r="A26" s="37"/>
      <c r="B26" s="38" t="s">
        <v>39</v>
      </c>
      <c r="C26" s="36"/>
      <c r="D26" s="101">
        <v>952.14709124562728</v>
      </c>
      <c r="E26" s="124">
        <v>18.242867085647486</v>
      </c>
      <c r="F26" s="61">
        <v>100</v>
      </c>
      <c r="G26" s="62">
        <v>25.535777976179034</v>
      </c>
      <c r="H26" s="62">
        <v>43.790520860807412</v>
      </c>
      <c r="I26" s="62">
        <v>13.832446732496249</v>
      </c>
      <c r="J26" s="62">
        <v>10.22129495723911</v>
      </c>
      <c r="K26" s="62">
        <v>3.0524522128674594</v>
      </c>
      <c r="L26" s="62">
        <v>0.29093212053276957</v>
      </c>
      <c r="M26" s="62">
        <v>3.2765751398783074</v>
      </c>
    </row>
    <row r="27" spans="1:13" s="19" customFormat="1" ht="12" customHeight="1" x14ac:dyDescent="0.25">
      <c r="A27" s="37"/>
      <c r="B27" s="38" t="s">
        <v>40</v>
      </c>
      <c r="C27" s="36"/>
      <c r="D27" s="101">
        <v>282.22920749785857</v>
      </c>
      <c r="E27" s="124">
        <v>13.254899404012253</v>
      </c>
      <c r="F27" s="61">
        <v>100</v>
      </c>
      <c r="G27" s="62">
        <v>37.619559150466948</v>
      </c>
      <c r="H27" s="62">
        <v>40.629637453200672</v>
      </c>
      <c r="I27" s="62">
        <v>13.155562204236205</v>
      </c>
      <c r="J27" s="62">
        <v>5.5405165119838999</v>
      </c>
      <c r="K27" s="62">
        <v>1.3004215965908039</v>
      </c>
      <c r="L27" s="62">
        <v>0.11580939392864284</v>
      </c>
      <c r="M27" s="62">
        <v>1.6384936895929172</v>
      </c>
    </row>
    <row r="28" spans="1:13" s="19" customFormat="1" ht="12" customHeight="1" x14ac:dyDescent="0.25">
      <c r="A28" s="37"/>
      <c r="B28" s="38" t="s">
        <v>41</v>
      </c>
      <c r="C28" s="36"/>
      <c r="D28" s="101">
        <v>999.55906934619213</v>
      </c>
      <c r="E28" s="124">
        <v>28.504158249723829</v>
      </c>
      <c r="F28" s="61">
        <v>100</v>
      </c>
      <c r="G28" s="62">
        <v>10.261928886313543</v>
      </c>
      <c r="H28" s="62">
        <v>36.388511552812595</v>
      </c>
      <c r="I28" s="62">
        <v>16.998998982561357</v>
      </c>
      <c r="J28" s="62">
        <v>10.02585869898129</v>
      </c>
      <c r="K28" s="62">
        <v>7.9363382217157596</v>
      </c>
      <c r="L28" s="62">
        <v>2.7411067188480249</v>
      </c>
      <c r="M28" s="62">
        <v>15.647256938767189</v>
      </c>
    </row>
    <row r="29" spans="1:13" s="19" customFormat="1" ht="12" customHeight="1" x14ac:dyDescent="0.25">
      <c r="A29" s="37"/>
      <c r="B29" s="38" t="s">
        <v>42</v>
      </c>
      <c r="C29" s="36"/>
      <c r="D29" s="101">
        <v>1427.9695645082347</v>
      </c>
      <c r="E29" s="124">
        <v>23.061178447982439</v>
      </c>
      <c r="F29" s="61">
        <v>100</v>
      </c>
      <c r="G29" s="62">
        <v>10.516030464959329</v>
      </c>
      <c r="H29" s="62">
        <v>45.213148288767584</v>
      </c>
      <c r="I29" s="62">
        <v>17.543553354044953</v>
      </c>
      <c r="J29" s="62">
        <v>14.3973831182523</v>
      </c>
      <c r="K29" s="62">
        <v>4.6456241262654538</v>
      </c>
      <c r="L29" s="62">
        <v>1.0125748102646797</v>
      </c>
      <c r="M29" s="62">
        <v>6.6716858374467156</v>
      </c>
    </row>
    <row r="30" spans="1:13" s="19" customFormat="1" ht="12" customHeight="1" x14ac:dyDescent="0.25">
      <c r="A30" s="37"/>
      <c r="B30" s="38" t="s">
        <v>43</v>
      </c>
      <c r="C30" s="36"/>
      <c r="D30" s="101">
        <v>926.62699345615306</v>
      </c>
      <c r="E30" s="124">
        <v>18.869002821369087</v>
      </c>
      <c r="F30" s="61">
        <v>100</v>
      </c>
      <c r="G30" s="62">
        <v>21.010314284045997</v>
      </c>
      <c r="H30" s="62">
        <v>45.631799850083986</v>
      </c>
      <c r="I30" s="62">
        <v>15.839916132662399</v>
      </c>
      <c r="J30" s="62">
        <v>8.312249336489721</v>
      </c>
      <c r="K30" s="62">
        <v>2.6891030530057969</v>
      </c>
      <c r="L30" s="62">
        <v>1.4336059485908415</v>
      </c>
      <c r="M30" s="62">
        <v>5.0830113951208968</v>
      </c>
    </row>
    <row r="31" spans="1:13" s="19" customFormat="1" ht="12" customHeight="1" x14ac:dyDescent="0.25">
      <c r="A31" s="37"/>
      <c r="B31" s="38" t="s">
        <v>44</v>
      </c>
      <c r="C31" s="36"/>
      <c r="D31" s="101">
        <v>451.481565883489</v>
      </c>
      <c r="E31" s="124">
        <v>14.075211397476371</v>
      </c>
      <c r="F31" s="61">
        <v>100</v>
      </c>
      <c r="G31" s="62">
        <v>29.73741454744297</v>
      </c>
      <c r="H31" s="62">
        <v>45.236005837823157</v>
      </c>
      <c r="I31" s="62">
        <v>16.257813575922519</v>
      </c>
      <c r="J31" s="62">
        <v>6.2651475945024959</v>
      </c>
      <c r="K31" s="62">
        <v>1.4601555039219876</v>
      </c>
      <c r="L31" s="62">
        <v>0.10373904268987517</v>
      </c>
      <c r="M31" s="62">
        <v>0.93972389769676634</v>
      </c>
    </row>
    <row r="32" spans="1:13" s="19" customFormat="1" ht="12" customHeight="1" x14ac:dyDescent="0.25">
      <c r="A32" s="37"/>
      <c r="B32" s="38" t="s">
        <v>45</v>
      </c>
      <c r="C32" s="36"/>
      <c r="D32" s="101">
        <v>27.230935813011428</v>
      </c>
      <c r="E32" s="124">
        <v>13.294862036596017</v>
      </c>
      <c r="F32" s="61">
        <v>100</v>
      </c>
      <c r="G32" s="62">
        <v>47.954385715374038</v>
      </c>
      <c r="H32" s="62">
        <v>39.022035711858692</v>
      </c>
      <c r="I32" s="62">
        <v>2.9249048022563797</v>
      </c>
      <c r="J32" s="62">
        <v>4.5336684584641089</v>
      </c>
      <c r="K32" s="62">
        <v>0.64911590413931985</v>
      </c>
      <c r="L32" s="62">
        <v>0.32079408839326551</v>
      </c>
      <c r="M32" s="62">
        <v>4.5950953195142521</v>
      </c>
    </row>
    <row r="33" spans="1:13" s="19" customFormat="1" ht="12" customHeight="1" x14ac:dyDescent="0.25">
      <c r="A33" s="37" t="s">
        <v>232</v>
      </c>
      <c r="B33" s="38"/>
      <c r="C33" s="36" t="s">
        <v>92</v>
      </c>
      <c r="D33" s="60"/>
      <c r="E33" s="124"/>
      <c r="F33" s="61"/>
      <c r="G33" s="62"/>
      <c r="H33" s="62"/>
      <c r="I33" s="62"/>
      <c r="J33" s="62"/>
      <c r="K33" s="62"/>
      <c r="L33" s="62"/>
      <c r="M33" s="62"/>
    </row>
    <row r="34" spans="1:13" s="19" customFormat="1" ht="12" customHeight="1" x14ac:dyDescent="0.25">
      <c r="A34" s="37"/>
      <c r="B34" s="38" t="s">
        <v>233</v>
      </c>
      <c r="C34" s="36"/>
      <c r="D34" s="101">
        <v>44945.954051139001</v>
      </c>
      <c r="E34" s="124">
        <v>25.654254823671977</v>
      </c>
      <c r="F34" s="61">
        <v>100</v>
      </c>
      <c r="G34" s="62">
        <v>14.172726939911197</v>
      </c>
      <c r="H34" s="62">
        <v>35.716497126313918</v>
      </c>
      <c r="I34" s="62">
        <v>16.749661518065292</v>
      </c>
      <c r="J34" s="62">
        <v>14.32419549548157</v>
      </c>
      <c r="K34" s="62">
        <v>7.2823274092896062</v>
      </c>
      <c r="L34" s="62">
        <v>2.6112578608063526</v>
      </c>
      <c r="M34" s="62">
        <v>9.1433336501324884</v>
      </c>
    </row>
    <row r="35" spans="1:13" s="19" customFormat="1" ht="12" customHeight="1" x14ac:dyDescent="0.25">
      <c r="A35" s="37"/>
      <c r="B35" s="38" t="s">
        <v>234</v>
      </c>
      <c r="C35" s="36"/>
      <c r="D35" s="101">
        <v>19941.96624458853</v>
      </c>
      <c r="E35" s="124">
        <v>20.891848830823829</v>
      </c>
      <c r="F35" s="61">
        <v>100</v>
      </c>
      <c r="G35" s="62">
        <v>20.866043353099727</v>
      </c>
      <c r="H35" s="62">
        <v>40.549997862772244</v>
      </c>
      <c r="I35" s="62">
        <v>14.425204485021789</v>
      </c>
      <c r="J35" s="62">
        <v>11.57072232515152</v>
      </c>
      <c r="K35" s="62">
        <v>4.5463649375385797</v>
      </c>
      <c r="L35" s="62">
        <v>1.535038129197255</v>
      </c>
      <c r="M35" s="62">
        <v>6.506628907217948</v>
      </c>
    </row>
    <row r="36" spans="1:13" s="19" customFormat="1" ht="12" customHeight="1" x14ac:dyDescent="0.25">
      <c r="A36" s="37" t="s">
        <v>46</v>
      </c>
      <c r="B36" s="38"/>
      <c r="C36" s="36" t="s">
        <v>19</v>
      </c>
      <c r="D36" s="101"/>
      <c r="E36" s="124"/>
      <c r="F36" s="61"/>
      <c r="G36" s="62"/>
      <c r="H36" s="62"/>
      <c r="I36" s="62"/>
      <c r="J36" s="62"/>
      <c r="K36" s="62"/>
      <c r="L36" s="62"/>
      <c r="M36" s="62"/>
    </row>
    <row r="37" spans="1:13" s="19" customFormat="1" ht="12" customHeight="1" x14ac:dyDescent="0.25">
      <c r="A37" s="37"/>
      <c r="B37" s="38" t="s">
        <v>47</v>
      </c>
      <c r="C37" s="36"/>
      <c r="D37" s="101">
        <v>32373.936967620732</v>
      </c>
      <c r="E37" s="124">
        <v>25.708326107754946</v>
      </c>
      <c r="F37" s="61">
        <v>100</v>
      </c>
      <c r="G37" s="62">
        <v>14.856012865468836</v>
      </c>
      <c r="H37" s="62">
        <v>34.814410707426255</v>
      </c>
      <c r="I37" s="62">
        <v>16.297904329980963</v>
      </c>
      <c r="J37" s="62">
        <v>15.043381152292991</v>
      </c>
      <c r="K37" s="62">
        <v>7.4692491524882909</v>
      </c>
      <c r="L37" s="62">
        <v>2.1915632671856122</v>
      </c>
      <c r="M37" s="62">
        <v>9.3274785251565664</v>
      </c>
    </row>
    <row r="38" spans="1:13" s="19" customFormat="1" ht="12" customHeight="1" x14ac:dyDescent="0.25">
      <c r="A38" s="37"/>
      <c r="B38" s="38" t="s">
        <v>48</v>
      </c>
      <c r="C38" s="36"/>
      <c r="D38" s="101">
        <v>32513.983328107315</v>
      </c>
      <c r="E38" s="124">
        <v>22.679465825380031</v>
      </c>
      <c r="F38" s="61">
        <v>100</v>
      </c>
      <c r="G38" s="62">
        <v>17.597629799937561</v>
      </c>
      <c r="H38" s="62">
        <v>39.579253532585128</v>
      </c>
      <c r="I38" s="62">
        <v>15.773801850608899</v>
      </c>
      <c r="J38" s="62">
        <v>11.919305902266327</v>
      </c>
      <c r="K38" s="62">
        <v>5.4181490532062133</v>
      </c>
      <c r="L38" s="62">
        <v>2.3690614138033901</v>
      </c>
      <c r="M38" s="62">
        <v>7.3427984475914023</v>
      </c>
    </row>
    <row r="39" spans="1:13" s="19" customFormat="1" ht="12" customHeight="1" x14ac:dyDescent="0.25">
      <c r="A39" s="37" t="s">
        <v>49</v>
      </c>
      <c r="B39" s="38"/>
      <c r="C39" s="36" t="s">
        <v>19</v>
      </c>
      <c r="D39" s="101"/>
      <c r="E39" s="124"/>
      <c r="F39" s="61"/>
      <c r="G39" s="62"/>
      <c r="H39" s="62"/>
      <c r="I39" s="62"/>
      <c r="J39" s="62"/>
      <c r="K39" s="62"/>
      <c r="L39" s="62"/>
      <c r="M39" s="62"/>
    </row>
    <row r="40" spans="1:13" s="19" customFormat="1" ht="12" customHeight="1" x14ac:dyDescent="0.25">
      <c r="A40" s="37"/>
      <c r="B40" s="38" t="s">
        <v>107</v>
      </c>
      <c r="C40" s="36"/>
      <c r="D40" s="101">
        <v>1743.2953563534288</v>
      </c>
      <c r="E40" s="124">
        <v>26.893180185625742</v>
      </c>
      <c r="F40" s="61">
        <v>100</v>
      </c>
      <c r="G40" s="62">
        <v>6.7099791881356721</v>
      </c>
      <c r="H40" s="62">
        <v>34.526646987961072</v>
      </c>
      <c r="I40" s="62">
        <v>16.72025435036069</v>
      </c>
      <c r="J40" s="62">
        <v>21.800729194143379</v>
      </c>
      <c r="K40" s="62">
        <v>8.6538081555455388</v>
      </c>
      <c r="L40" s="62">
        <v>2.0370831412036572</v>
      </c>
      <c r="M40" s="62">
        <v>9.5514989826494361</v>
      </c>
    </row>
    <row r="41" spans="1:13" s="19" customFormat="1" ht="12" customHeight="1" x14ac:dyDescent="0.25">
      <c r="A41" s="37"/>
      <c r="B41" s="38" t="s">
        <v>108</v>
      </c>
      <c r="C41" s="36"/>
      <c r="D41" s="101">
        <v>1064.9479498777655</v>
      </c>
      <c r="E41" s="124">
        <v>26.513181271115368</v>
      </c>
      <c r="F41" s="61">
        <v>100</v>
      </c>
      <c r="G41" s="62">
        <v>13.339356480334162</v>
      </c>
      <c r="H41" s="62">
        <v>41.54473267666156</v>
      </c>
      <c r="I41" s="62">
        <v>13.136920098107103</v>
      </c>
      <c r="J41" s="62">
        <v>12.664798851261393</v>
      </c>
      <c r="K41" s="62">
        <v>7.6844669121306959</v>
      </c>
      <c r="L41" s="62">
        <v>1.6923146546245902</v>
      </c>
      <c r="M41" s="62">
        <v>9.9374103268808298</v>
      </c>
    </row>
    <row r="42" spans="1:13" s="19" customFormat="1" ht="12" customHeight="1" x14ac:dyDescent="0.25">
      <c r="A42" s="37"/>
      <c r="B42" s="38" t="s">
        <v>109</v>
      </c>
      <c r="C42" s="36"/>
      <c r="D42" s="101">
        <v>8618.7707352016296</v>
      </c>
      <c r="E42" s="124">
        <v>26.781431136515454</v>
      </c>
      <c r="F42" s="61">
        <v>100</v>
      </c>
      <c r="G42" s="62">
        <v>16.241413619475367</v>
      </c>
      <c r="H42" s="62">
        <v>35.814102846758779</v>
      </c>
      <c r="I42" s="62">
        <v>16.475344985990077</v>
      </c>
      <c r="J42" s="62">
        <v>13.195343022274383</v>
      </c>
      <c r="K42" s="62">
        <v>6.2074481738048934</v>
      </c>
      <c r="L42" s="62">
        <v>2.0811674631305372</v>
      </c>
      <c r="M42" s="62">
        <v>9.9851798885688758</v>
      </c>
    </row>
    <row r="43" spans="1:13" s="19" customFormat="1" ht="12" customHeight="1" x14ac:dyDescent="0.25">
      <c r="A43" s="37"/>
      <c r="B43" s="38" t="s">
        <v>110</v>
      </c>
      <c r="C43" s="36"/>
      <c r="D43" s="101">
        <v>11493.444729573315</v>
      </c>
      <c r="E43" s="124">
        <v>24.559343634630256</v>
      </c>
      <c r="F43" s="61">
        <v>100</v>
      </c>
      <c r="G43" s="62">
        <v>13.964818023230237</v>
      </c>
      <c r="H43" s="62">
        <v>36.887480264622369</v>
      </c>
      <c r="I43" s="62">
        <v>15.918161193196207</v>
      </c>
      <c r="J43" s="62">
        <v>15.705216253053534</v>
      </c>
      <c r="K43" s="62">
        <v>6.8427588973312101</v>
      </c>
      <c r="L43" s="62">
        <v>2.8059666120870985</v>
      </c>
      <c r="M43" s="62">
        <v>7.8755987564787953</v>
      </c>
    </row>
    <row r="44" spans="1:13" s="19" customFormat="1" ht="12" customHeight="1" x14ac:dyDescent="0.25">
      <c r="A44" s="37"/>
      <c r="B44" s="38" t="s">
        <v>111</v>
      </c>
      <c r="C44" s="36"/>
      <c r="D44" s="101">
        <v>14470.101281727069</v>
      </c>
      <c r="E44" s="124">
        <v>23.863915423080584</v>
      </c>
      <c r="F44" s="61">
        <v>100</v>
      </c>
      <c r="G44" s="62">
        <v>15.077294387646795</v>
      </c>
      <c r="H44" s="62">
        <v>38.327427997401529</v>
      </c>
      <c r="I44" s="62">
        <v>16.498771763495238</v>
      </c>
      <c r="J44" s="62">
        <v>13.097620449857214</v>
      </c>
      <c r="K44" s="62">
        <v>6.3554948292011915</v>
      </c>
      <c r="L44" s="62">
        <v>2.5318560794123597</v>
      </c>
      <c r="M44" s="62">
        <v>8.1115344929852249</v>
      </c>
    </row>
    <row r="45" spans="1:13" s="19" customFormat="1" ht="12" customHeight="1" x14ac:dyDescent="0.25">
      <c r="A45" s="37"/>
      <c r="B45" s="38" t="s">
        <v>112</v>
      </c>
      <c r="C45" s="36"/>
      <c r="D45" s="101">
        <v>12111.105275085087</v>
      </c>
      <c r="E45" s="124">
        <v>24.01824079724101</v>
      </c>
      <c r="F45" s="61">
        <v>100</v>
      </c>
      <c r="G45" s="62">
        <v>17.435359563918549</v>
      </c>
      <c r="H45" s="62">
        <v>35.192194367592734</v>
      </c>
      <c r="I45" s="62">
        <v>16.76046938076087</v>
      </c>
      <c r="J45" s="62">
        <v>12.761080045164974</v>
      </c>
      <c r="K45" s="62">
        <v>7.1950962311448716</v>
      </c>
      <c r="L45" s="62">
        <v>2.4056370721990379</v>
      </c>
      <c r="M45" s="62">
        <v>8.2501633392188971</v>
      </c>
    </row>
    <row r="46" spans="1:13" s="19" customFormat="1" ht="12" customHeight="1" x14ac:dyDescent="0.25">
      <c r="A46" s="37"/>
      <c r="B46" s="38" t="s">
        <v>113</v>
      </c>
      <c r="C46" s="36"/>
      <c r="D46" s="101">
        <v>5285.8882331083123</v>
      </c>
      <c r="E46" s="124">
        <v>22.070800117118576</v>
      </c>
      <c r="F46" s="61">
        <v>100</v>
      </c>
      <c r="G46" s="62">
        <v>20.401945368429001</v>
      </c>
      <c r="H46" s="62">
        <v>38.296801715723838</v>
      </c>
      <c r="I46" s="62">
        <v>15.468023050407655</v>
      </c>
      <c r="J46" s="62">
        <v>12.229542497694297</v>
      </c>
      <c r="K46" s="62">
        <v>5.2016470452204846</v>
      </c>
      <c r="L46" s="62">
        <v>1.3518518359121237</v>
      </c>
      <c r="M46" s="62">
        <v>7.0501884866172189</v>
      </c>
    </row>
    <row r="47" spans="1:13" s="19" customFormat="1" ht="12" customHeight="1" x14ac:dyDescent="0.25">
      <c r="A47" s="37"/>
      <c r="B47" s="38" t="s">
        <v>114</v>
      </c>
      <c r="C47" s="36"/>
      <c r="D47" s="101">
        <v>10100.366734800487</v>
      </c>
      <c r="E47" s="124">
        <v>22.633100592476307</v>
      </c>
      <c r="F47" s="61">
        <v>100</v>
      </c>
      <c r="G47" s="62">
        <v>18.767113671196029</v>
      </c>
      <c r="H47" s="62">
        <v>38.972555139123415</v>
      </c>
      <c r="I47" s="62">
        <v>14.743752202345942</v>
      </c>
      <c r="J47" s="62">
        <v>11.891823718762753</v>
      </c>
      <c r="K47" s="62">
        <v>5.5400877322891855</v>
      </c>
      <c r="L47" s="62">
        <v>1.9325522975006435</v>
      </c>
      <c r="M47" s="62">
        <v>8.1521152387826756</v>
      </c>
    </row>
    <row r="48" spans="1:13" s="19" customFormat="1" ht="12" customHeight="1" x14ac:dyDescent="0.25">
      <c r="A48" s="37" t="s">
        <v>50</v>
      </c>
      <c r="B48" s="38"/>
      <c r="C48" s="36" t="s">
        <v>19</v>
      </c>
      <c r="D48" s="101"/>
      <c r="E48" s="124"/>
      <c r="F48" s="61"/>
      <c r="G48" s="62"/>
      <c r="H48" s="62"/>
      <c r="I48" s="62"/>
      <c r="J48" s="62"/>
      <c r="K48" s="62"/>
      <c r="L48" s="62"/>
      <c r="M48" s="62"/>
    </row>
    <row r="49" spans="1:13" s="19" customFormat="1" ht="12" customHeight="1" x14ac:dyDescent="0.25">
      <c r="A49" s="37"/>
      <c r="B49" s="38" t="s">
        <v>3</v>
      </c>
      <c r="C49" s="36"/>
      <c r="D49" s="101">
        <v>3626.9266360088673</v>
      </c>
      <c r="E49" s="124">
        <v>22.103433204216319</v>
      </c>
      <c r="F49" s="61">
        <v>100</v>
      </c>
      <c r="G49" s="62">
        <v>17.576165532294915</v>
      </c>
      <c r="H49" s="62">
        <v>43.536521723689397</v>
      </c>
      <c r="I49" s="62">
        <v>13.586366389375275</v>
      </c>
      <c r="J49" s="62">
        <v>11.342420530620133</v>
      </c>
      <c r="K49" s="62">
        <v>4.3849582313906925</v>
      </c>
      <c r="L49" s="62">
        <v>1.2875566049256559</v>
      </c>
      <c r="M49" s="62">
        <v>8.2860109877035271</v>
      </c>
    </row>
    <row r="50" spans="1:13" s="19" customFormat="1" ht="12" customHeight="1" x14ac:dyDescent="0.25">
      <c r="A50" s="37"/>
      <c r="B50" s="38" t="s">
        <v>115</v>
      </c>
      <c r="C50" s="36"/>
      <c r="D50" s="101">
        <v>4659.8392180230212</v>
      </c>
      <c r="E50" s="124">
        <v>21.789544424619315</v>
      </c>
      <c r="F50" s="61">
        <v>100</v>
      </c>
      <c r="G50" s="62">
        <v>21.515614633171396</v>
      </c>
      <c r="H50" s="62">
        <v>38.753052876986622</v>
      </c>
      <c r="I50" s="62">
        <v>13.455601262268175</v>
      </c>
      <c r="J50" s="62">
        <v>12.139333390577347</v>
      </c>
      <c r="K50" s="62">
        <v>5.6211140848747885</v>
      </c>
      <c r="L50" s="62">
        <v>1.261263455322388</v>
      </c>
      <c r="M50" s="62">
        <v>7.2540202967985081</v>
      </c>
    </row>
    <row r="51" spans="1:13" s="19" customFormat="1" ht="12" customHeight="1" x14ac:dyDescent="0.25">
      <c r="A51" s="37"/>
      <c r="B51" s="38" t="s">
        <v>116</v>
      </c>
      <c r="C51" s="36"/>
      <c r="D51" s="101">
        <v>17169.220126921638</v>
      </c>
      <c r="E51" s="124">
        <v>23.218749220694701</v>
      </c>
      <c r="F51" s="61">
        <v>100</v>
      </c>
      <c r="G51" s="62">
        <v>18.343690377988413</v>
      </c>
      <c r="H51" s="62">
        <v>37.038041316538262</v>
      </c>
      <c r="I51" s="62">
        <v>16.05192646779593</v>
      </c>
      <c r="J51" s="62">
        <v>13.484448152880088</v>
      </c>
      <c r="K51" s="62">
        <v>6.1793396989426341</v>
      </c>
      <c r="L51" s="62">
        <v>1.7850081469122183</v>
      </c>
      <c r="M51" s="62">
        <v>7.1175458389431316</v>
      </c>
    </row>
    <row r="52" spans="1:13" s="19" customFormat="1" ht="12" customHeight="1" x14ac:dyDescent="0.25">
      <c r="A52" s="37"/>
      <c r="B52" s="38" t="s">
        <v>51</v>
      </c>
      <c r="C52" s="36"/>
      <c r="D52" s="101">
        <v>7357.8881417047232</v>
      </c>
      <c r="E52" s="124">
        <v>24.177378883484895</v>
      </c>
      <c r="F52" s="61">
        <v>100</v>
      </c>
      <c r="G52" s="62">
        <v>16.811161232519467</v>
      </c>
      <c r="H52" s="62">
        <v>35.758846955809091</v>
      </c>
      <c r="I52" s="62">
        <v>17.954923453376463</v>
      </c>
      <c r="J52" s="62">
        <v>12.035658860942146</v>
      </c>
      <c r="K52" s="62">
        <v>5.8877286523182448</v>
      </c>
      <c r="L52" s="62">
        <v>2.8312344242676999</v>
      </c>
      <c r="M52" s="62">
        <v>8.7204464207673649</v>
      </c>
    </row>
    <row r="53" spans="1:13" s="19" customFormat="1" ht="12" customHeight="1" x14ac:dyDescent="0.25">
      <c r="A53" s="37"/>
      <c r="B53" s="38" t="s">
        <v>52</v>
      </c>
      <c r="C53" s="36"/>
      <c r="D53" s="101">
        <v>23765.237988001132</v>
      </c>
      <c r="E53" s="124">
        <v>25.099262202473728</v>
      </c>
      <c r="F53" s="61">
        <v>100</v>
      </c>
      <c r="G53" s="62">
        <v>14.885473239843698</v>
      </c>
      <c r="H53" s="62">
        <v>37.456966094147418</v>
      </c>
      <c r="I53" s="62">
        <v>15.332331199997913</v>
      </c>
      <c r="J53" s="62">
        <v>14.068184429429939</v>
      </c>
      <c r="K53" s="62">
        <v>6.585190227867221</v>
      </c>
      <c r="L53" s="62">
        <v>2.6428961962014017</v>
      </c>
      <c r="M53" s="62">
        <v>9.0289586125120902</v>
      </c>
    </row>
    <row r="54" spans="1:13" s="19" customFormat="1" ht="12" customHeight="1" x14ac:dyDescent="0.25">
      <c r="A54" s="37"/>
      <c r="B54" s="38" t="s">
        <v>4</v>
      </c>
      <c r="C54" s="36"/>
      <c r="D54" s="101">
        <v>8249.9009293799427</v>
      </c>
      <c r="E54" s="124">
        <v>25.927404200810802</v>
      </c>
      <c r="F54" s="61">
        <v>100</v>
      </c>
      <c r="G54" s="62">
        <v>11.491843616096682</v>
      </c>
      <c r="H54" s="62">
        <v>34.401472984022931</v>
      </c>
      <c r="I54" s="62">
        <v>18.945887365718324</v>
      </c>
      <c r="J54" s="62">
        <v>14.790422130036582</v>
      </c>
      <c r="K54" s="62">
        <v>8.4039962802903876</v>
      </c>
      <c r="L54" s="62">
        <v>2.8051045998417403</v>
      </c>
      <c r="M54" s="62">
        <v>9.1612730239931963</v>
      </c>
    </row>
    <row r="55" spans="1:13" s="19" customFormat="1" ht="12" customHeight="1" x14ac:dyDescent="0.25">
      <c r="A55" s="37"/>
      <c r="B55" s="38" t="s">
        <v>117</v>
      </c>
      <c r="C55" s="36"/>
      <c r="D55" s="101">
        <v>58.90725568823256</v>
      </c>
      <c r="E55" s="124">
        <v>17.747847661044887</v>
      </c>
      <c r="F55" s="61">
        <v>100</v>
      </c>
      <c r="G55" s="62">
        <v>32.339154999008088</v>
      </c>
      <c r="H55" s="62">
        <v>41.856024234606046</v>
      </c>
      <c r="I55" s="62">
        <v>2.2271322983704889</v>
      </c>
      <c r="J55" s="62">
        <v>7.2038511450373184</v>
      </c>
      <c r="K55" s="62">
        <v>10.707637277492941</v>
      </c>
      <c r="L55" s="62">
        <v>0</v>
      </c>
      <c r="M55" s="62">
        <v>5.6662000454850956</v>
      </c>
    </row>
    <row r="56" spans="1:13" s="127" customFormat="1" ht="5.0999999999999996" customHeight="1" x14ac:dyDescent="0.25">
      <c r="A56" s="39"/>
      <c r="B56" s="125"/>
      <c r="C56" s="82"/>
      <c r="D56" s="115"/>
      <c r="E56" s="126"/>
      <c r="F56" s="117"/>
      <c r="G56" s="118"/>
      <c r="H56" s="118"/>
      <c r="I56" s="118"/>
      <c r="J56" s="118"/>
      <c r="K56" s="118"/>
      <c r="L56" s="118"/>
      <c r="M56" s="118"/>
    </row>
    <row r="57" spans="1:13" s="19" customFormat="1" ht="15" customHeight="1" x14ac:dyDescent="0.25">
      <c r="A57" s="37" t="s">
        <v>53</v>
      </c>
      <c r="B57" s="38"/>
      <c r="C57" s="36" t="s">
        <v>19</v>
      </c>
      <c r="D57" s="101"/>
      <c r="E57" s="124"/>
      <c r="F57" s="61"/>
      <c r="G57" s="62"/>
      <c r="H57" s="62"/>
      <c r="I57" s="62"/>
      <c r="J57" s="62"/>
      <c r="K57" s="62"/>
      <c r="L57" s="62"/>
      <c r="M57" s="62"/>
    </row>
    <row r="58" spans="1:13" s="19" customFormat="1" ht="15" customHeight="1" x14ac:dyDescent="0.25">
      <c r="A58" s="37"/>
      <c r="B58" s="38" t="s">
        <v>54</v>
      </c>
      <c r="C58" s="36"/>
      <c r="D58" s="101">
        <v>1858.1567982429931</v>
      </c>
      <c r="E58" s="124">
        <v>17.825817604125579</v>
      </c>
      <c r="F58" s="61">
        <v>100</v>
      </c>
      <c r="G58" s="62">
        <v>29.916838056287766</v>
      </c>
      <c r="H58" s="62">
        <v>40.150763202837169</v>
      </c>
      <c r="I58" s="62">
        <v>12.405076919833972</v>
      </c>
      <c r="J58" s="62">
        <v>8.6526370679896356</v>
      </c>
      <c r="K58" s="62">
        <v>2.2410431115566798</v>
      </c>
      <c r="L58" s="62">
        <v>0.87659395235312398</v>
      </c>
      <c r="M58" s="62">
        <v>5.7570476891415785</v>
      </c>
    </row>
    <row r="59" spans="1:13" s="19" customFormat="1" ht="15" customHeight="1" x14ac:dyDescent="0.25">
      <c r="A59" s="37"/>
      <c r="B59" s="38" t="s">
        <v>55</v>
      </c>
      <c r="C59" s="36"/>
      <c r="D59" s="101">
        <v>14342.039471561147</v>
      </c>
      <c r="E59" s="124">
        <v>26.567120393546933</v>
      </c>
      <c r="F59" s="61">
        <v>100</v>
      </c>
      <c r="G59" s="62">
        <v>12.585762306273034</v>
      </c>
      <c r="H59" s="62">
        <v>32.597674957973013</v>
      </c>
      <c r="I59" s="62">
        <v>17.629614895439197</v>
      </c>
      <c r="J59" s="62">
        <v>16.166181104717836</v>
      </c>
      <c r="K59" s="62">
        <v>8.5814126613906971</v>
      </c>
      <c r="L59" s="62">
        <v>3.0915417012749651</v>
      </c>
      <c r="M59" s="62">
        <v>9.3478123729296598</v>
      </c>
    </row>
    <row r="60" spans="1:13" s="19" customFormat="1" ht="15" customHeight="1" x14ac:dyDescent="0.25">
      <c r="A60" s="37"/>
      <c r="B60" s="38" t="s">
        <v>211</v>
      </c>
      <c r="C60" s="36"/>
      <c r="D60" s="101">
        <v>3044.967734714457</v>
      </c>
      <c r="E60" s="124">
        <v>23.177654651830949</v>
      </c>
      <c r="F60" s="61">
        <v>100</v>
      </c>
      <c r="G60" s="62">
        <v>15.033268185875082</v>
      </c>
      <c r="H60" s="62">
        <v>34.306073013728195</v>
      </c>
      <c r="I60" s="62">
        <v>21.804605272978392</v>
      </c>
      <c r="J60" s="62">
        <v>13.29945628104957</v>
      </c>
      <c r="K60" s="62">
        <v>6.1841744385529713</v>
      </c>
      <c r="L60" s="62">
        <v>1.7819413663002641</v>
      </c>
      <c r="M60" s="62">
        <v>7.5904814415155499</v>
      </c>
    </row>
    <row r="61" spans="1:13" s="19" customFormat="1" ht="15" customHeight="1" x14ac:dyDescent="0.25">
      <c r="A61" s="37"/>
      <c r="B61" s="38" t="s">
        <v>212</v>
      </c>
      <c r="C61" s="36"/>
      <c r="D61" s="101">
        <v>1904.7662683013382</v>
      </c>
      <c r="E61" s="124">
        <v>21.051027963136434</v>
      </c>
      <c r="F61" s="61">
        <v>100</v>
      </c>
      <c r="G61" s="62">
        <v>19.477010400290972</v>
      </c>
      <c r="H61" s="62">
        <v>40.128222916606141</v>
      </c>
      <c r="I61" s="62">
        <v>18.024489988557796</v>
      </c>
      <c r="J61" s="62">
        <v>10.871846695314785</v>
      </c>
      <c r="K61" s="62">
        <v>4.7973381495454728</v>
      </c>
      <c r="L61" s="62">
        <v>0.50484573374264197</v>
      </c>
      <c r="M61" s="62">
        <v>6.1962461159422206</v>
      </c>
    </row>
    <row r="62" spans="1:13" s="19" customFormat="1" ht="15" customHeight="1" x14ac:dyDescent="0.25">
      <c r="A62" s="37"/>
      <c r="B62" s="38" t="s">
        <v>56</v>
      </c>
      <c r="C62" s="36"/>
      <c r="D62" s="101">
        <v>20613.49251975731</v>
      </c>
      <c r="E62" s="124">
        <v>24.927834798614924</v>
      </c>
      <c r="F62" s="61">
        <v>100</v>
      </c>
      <c r="G62" s="62">
        <v>14.576476317501863</v>
      </c>
      <c r="H62" s="62">
        <v>36.925360273192148</v>
      </c>
      <c r="I62" s="62">
        <v>15.858830517526785</v>
      </c>
      <c r="J62" s="62">
        <v>14.277315651458109</v>
      </c>
      <c r="K62" s="62">
        <v>6.9252966989069877</v>
      </c>
      <c r="L62" s="62">
        <v>2.6801610012703247</v>
      </c>
      <c r="M62" s="62">
        <v>8.7565595401428311</v>
      </c>
    </row>
    <row r="63" spans="1:13" s="19" customFormat="1" ht="15" customHeight="1" x14ac:dyDescent="0.25">
      <c r="A63" s="37"/>
      <c r="B63" s="38" t="s">
        <v>57</v>
      </c>
      <c r="C63" s="36"/>
      <c r="D63" s="101">
        <v>3795.1695830256963</v>
      </c>
      <c r="E63" s="124">
        <v>24.951329831024587</v>
      </c>
      <c r="F63" s="61">
        <v>100</v>
      </c>
      <c r="G63" s="62">
        <v>12.649572775342074</v>
      </c>
      <c r="H63" s="62">
        <v>38.998554519881942</v>
      </c>
      <c r="I63" s="62">
        <v>19.70882598127687</v>
      </c>
      <c r="J63" s="62">
        <v>11.013969463484219</v>
      </c>
      <c r="K63" s="62">
        <v>7.4855258610648612</v>
      </c>
      <c r="L63" s="62">
        <v>2.2142667255133159</v>
      </c>
      <c r="M63" s="62">
        <v>7.9292846734372855</v>
      </c>
    </row>
    <row r="64" spans="1:13" s="19" customFormat="1" ht="15" customHeight="1" x14ac:dyDescent="0.25">
      <c r="A64" s="37"/>
      <c r="B64" s="38" t="s">
        <v>204</v>
      </c>
      <c r="C64" s="36"/>
      <c r="D64" s="101">
        <v>161.46251086816454</v>
      </c>
      <c r="E64" s="124">
        <v>21.68108215808136</v>
      </c>
      <c r="F64" s="61">
        <v>100</v>
      </c>
      <c r="G64" s="62">
        <v>24.340623738856564</v>
      </c>
      <c r="H64" s="62">
        <v>38.048774979150302</v>
      </c>
      <c r="I64" s="62">
        <v>4.5762226972193645</v>
      </c>
      <c r="J64" s="62">
        <v>19.097567482150932</v>
      </c>
      <c r="K64" s="62">
        <v>2.3625713270734625</v>
      </c>
      <c r="L64" s="62">
        <v>0.6700452612745148</v>
      </c>
      <c r="M64" s="62">
        <v>10.904194514274694</v>
      </c>
    </row>
    <row r="65" spans="1:13" s="19" customFormat="1" ht="15" customHeight="1" x14ac:dyDescent="0.25">
      <c r="A65" s="37"/>
      <c r="B65" s="38" t="s">
        <v>58</v>
      </c>
      <c r="C65" s="36"/>
      <c r="D65" s="101">
        <v>5775.8842566947669</v>
      </c>
      <c r="E65" s="124">
        <v>19.551660063515104</v>
      </c>
      <c r="F65" s="61">
        <v>100</v>
      </c>
      <c r="G65" s="62">
        <v>24.313473355388162</v>
      </c>
      <c r="H65" s="62">
        <v>45.10832883973459</v>
      </c>
      <c r="I65" s="62">
        <v>12.412235431092</v>
      </c>
      <c r="J65" s="62">
        <v>8.450637332842458</v>
      </c>
      <c r="K65" s="62">
        <v>3.4527748799758298</v>
      </c>
      <c r="L65" s="62">
        <v>1.0393983198914758</v>
      </c>
      <c r="M65" s="62">
        <v>5.2231518410756914</v>
      </c>
    </row>
    <row r="66" spans="1:13" s="19" customFormat="1" ht="15" customHeight="1" x14ac:dyDescent="0.25">
      <c r="A66" s="37"/>
      <c r="B66" s="38" t="s">
        <v>59</v>
      </c>
      <c r="C66" s="36"/>
      <c r="D66" s="101">
        <v>8147.4881903485448</v>
      </c>
      <c r="E66" s="124">
        <v>22.539846937607013</v>
      </c>
      <c r="F66" s="61">
        <v>100</v>
      </c>
      <c r="G66" s="62">
        <v>19.230038573942583</v>
      </c>
      <c r="H66" s="62">
        <v>39.286867167807735</v>
      </c>
      <c r="I66" s="62">
        <v>14.433719647542205</v>
      </c>
      <c r="J66" s="62">
        <v>12.361075696833433</v>
      </c>
      <c r="K66" s="62">
        <v>4.7636620890029455</v>
      </c>
      <c r="L66" s="62">
        <v>1.9210395889120855</v>
      </c>
      <c r="M66" s="62">
        <v>8.0035972359592122</v>
      </c>
    </row>
    <row r="67" spans="1:13" s="19" customFormat="1" ht="15" customHeight="1" x14ac:dyDescent="0.25">
      <c r="A67" s="37"/>
      <c r="B67" s="38" t="s">
        <v>61</v>
      </c>
      <c r="C67" s="36"/>
      <c r="D67" s="101">
        <v>3351.0076175379395</v>
      </c>
      <c r="E67" s="124">
        <v>28.499886499657425</v>
      </c>
      <c r="F67" s="61">
        <v>100</v>
      </c>
      <c r="G67" s="62">
        <v>12.786042646641903</v>
      </c>
      <c r="H67" s="62">
        <v>35.866724225095957</v>
      </c>
      <c r="I67" s="62">
        <v>14.093282580765734</v>
      </c>
      <c r="J67" s="62">
        <v>15.760726861669768</v>
      </c>
      <c r="K67" s="62">
        <v>7.5791850815138826</v>
      </c>
      <c r="L67" s="62">
        <v>2.2444811239356319</v>
      </c>
      <c r="M67" s="62">
        <v>11.6695574803772</v>
      </c>
    </row>
    <row r="68" spans="1:13" s="19" customFormat="1" ht="15" customHeight="1" x14ac:dyDescent="0.25">
      <c r="A68" s="37"/>
      <c r="B68" s="38" t="s">
        <v>60</v>
      </c>
      <c r="C68" s="36"/>
      <c r="D68" s="101">
        <v>1769.671565714486</v>
      </c>
      <c r="E68" s="124">
        <v>21.027313596994571</v>
      </c>
      <c r="F68" s="61">
        <v>100</v>
      </c>
      <c r="G68" s="62">
        <v>21.933508607004828</v>
      </c>
      <c r="H68" s="62">
        <v>41.097601091606343</v>
      </c>
      <c r="I68" s="62">
        <v>12.915486142208923</v>
      </c>
      <c r="J68" s="62">
        <v>12.629166359158367</v>
      </c>
      <c r="K68" s="62">
        <v>3.8930693485869146</v>
      </c>
      <c r="L68" s="62">
        <v>0.92011037906560411</v>
      </c>
      <c r="M68" s="62">
        <v>6.6110580723690413</v>
      </c>
    </row>
    <row r="69" spans="1:13" s="19" customFormat="1" ht="15" customHeight="1" x14ac:dyDescent="0.25">
      <c r="A69" s="37"/>
      <c r="B69" s="38" t="s">
        <v>117</v>
      </c>
      <c r="C69" s="36"/>
      <c r="D69" s="101">
        <v>123.81377896109839</v>
      </c>
      <c r="E69" s="124">
        <v>28.479596487776618</v>
      </c>
      <c r="F69" s="61">
        <v>100</v>
      </c>
      <c r="G69" s="62">
        <v>23.963493293838599</v>
      </c>
      <c r="H69" s="62">
        <v>16.803385546605199</v>
      </c>
      <c r="I69" s="62">
        <v>16.624289598311631</v>
      </c>
      <c r="J69" s="62">
        <v>12.476029245519259</v>
      </c>
      <c r="K69" s="62">
        <v>1.4545465642567497</v>
      </c>
      <c r="L69" s="62">
        <v>8.5441478440855576</v>
      </c>
      <c r="M69" s="62">
        <v>20.134107907383004</v>
      </c>
    </row>
    <row r="70" spans="1:13" s="19" customFormat="1" ht="15" customHeight="1" x14ac:dyDescent="0.25">
      <c r="A70" s="37" t="s">
        <v>5</v>
      </c>
      <c r="B70" s="38"/>
      <c r="C70" s="36" t="s">
        <v>19</v>
      </c>
      <c r="D70" s="101"/>
      <c r="E70" s="124"/>
      <c r="F70" s="61"/>
      <c r="G70" s="62"/>
      <c r="H70" s="62"/>
      <c r="I70" s="62"/>
      <c r="J70" s="62"/>
      <c r="K70" s="62"/>
      <c r="L70" s="62"/>
      <c r="M70" s="62"/>
    </row>
    <row r="71" spans="1:13" s="19" customFormat="1" ht="15" customHeight="1" x14ac:dyDescent="0.25">
      <c r="A71" s="37"/>
      <c r="B71" s="38" t="s">
        <v>6</v>
      </c>
      <c r="C71" s="36"/>
      <c r="D71" s="101">
        <v>29158.712404131529</v>
      </c>
      <c r="E71" s="124">
        <v>25.316845502410679</v>
      </c>
      <c r="F71" s="61">
        <v>100</v>
      </c>
      <c r="G71" s="62">
        <v>10.53762784566544</v>
      </c>
      <c r="H71" s="62">
        <v>33.864883065411547</v>
      </c>
      <c r="I71" s="62">
        <v>19.102797176099969</v>
      </c>
      <c r="J71" s="62">
        <v>16.160906820482865</v>
      </c>
      <c r="K71" s="62">
        <v>8.5265673405252311</v>
      </c>
      <c r="L71" s="62">
        <v>3.3285841944532271</v>
      </c>
      <c r="M71" s="62">
        <v>8.478633557361718</v>
      </c>
    </row>
    <row r="72" spans="1:13" s="19" customFormat="1" ht="15" customHeight="1" x14ac:dyDescent="0.25">
      <c r="A72" s="37"/>
      <c r="B72" s="38" t="s">
        <v>7</v>
      </c>
      <c r="C72" s="36"/>
      <c r="D72" s="101">
        <v>2947.4035165396022</v>
      </c>
      <c r="E72" s="124">
        <v>25.427730648693537</v>
      </c>
      <c r="F72" s="61">
        <v>100</v>
      </c>
      <c r="G72" s="62">
        <v>11.65549605655014</v>
      </c>
      <c r="H72" s="62">
        <v>35.162354957071656</v>
      </c>
      <c r="I72" s="62">
        <v>14.708477203706842</v>
      </c>
      <c r="J72" s="62">
        <v>18.488339587950733</v>
      </c>
      <c r="K72" s="62">
        <v>8.8555729705778532</v>
      </c>
      <c r="L72" s="62">
        <v>2.3919996898382943</v>
      </c>
      <c r="M72" s="62">
        <v>8.7377595343043701</v>
      </c>
    </row>
    <row r="73" spans="1:13" s="19" customFormat="1" ht="15" customHeight="1" x14ac:dyDescent="0.25">
      <c r="A73" s="37"/>
      <c r="B73" s="38" t="s">
        <v>122</v>
      </c>
      <c r="C73" s="36"/>
      <c r="D73" s="101">
        <v>3081.1634648629743</v>
      </c>
      <c r="E73" s="124">
        <v>34.652991671714076</v>
      </c>
      <c r="F73" s="61">
        <v>100</v>
      </c>
      <c r="G73" s="62">
        <v>7.2672815126575543</v>
      </c>
      <c r="H73" s="62">
        <v>30.047557939941932</v>
      </c>
      <c r="I73" s="62">
        <v>16.87970166135614</v>
      </c>
      <c r="J73" s="62">
        <v>17.26758084288474</v>
      </c>
      <c r="K73" s="62">
        <v>8.2338698402640595</v>
      </c>
      <c r="L73" s="62">
        <v>2.316245602647288</v>
      </c>
      <c r="M73" s="62">
        <v>17.987762600247986</v>
      </c>
    </row>
    <row r="74" spans="1:13" s="19" customFormat="1" ht="15" customHeight="1" x14ac:dyDescent="0.25">
      <c r="A74" s="37"/>
      <c r="B74" s="38" t="s">
        <v>8</v>
      </c>
      <c r="C74" s="36"/>
      <c r="D74" s="101">
        <v>11060.556445902639</v>
      </c>
      <c r="E74" s="124">
        <v>14.089891588504296</v>
      </c>
      <c r="F74" s="61">
        <v>100</v>
      </c>
      <c r="G74" s="62">
        <v>31.87241633540658</v>
      </c>
      <c r="H74" s="62">
        <v>47.457869688050501</v>
      </c>
      <c r="I74" s="62">
        <v>10.118610677941025</v>
      </c>
      <c r="J74" s="62">
        <v>6.2858375541292073</v>
      </c>
      <c r="K74" s="62">
        <v>1.8017844351995667</v>
      </c>
      <c r="L74" s="62">
        <v>0.37587491804218925</v>
      </c>
      <c r="M74" s="62">
        <v>2.0876063912308611</v>
      </c>
    </row>
    <row r="75" spans="1:13" s="19" customFormat="1" ht="15" customHeight="1" x14ac:dyDescent="0.25">
      <c r="A75" s="37"/>
      <c r="B75" s="38" t="s">
        <v>9</v>
      </c>
      <c r="C75" s="36"/>
      <c r="D75" s="101">
        <v>10910.063566364379</v>
      </c>
      <c r="E75" s="124">
        <v>20.783846423426208</v>
      </c>
      <c r="F75" s="61">
        <v>100</v>
      </c>
      <c r="G75" s="62">
        <v>20.859723840315628</v>
      </c>
      <c r="H75" s="62">
        <v>39.334142835174703</v>
      </c>
      <c r="I75" s="62">
        <v>15.755123565943141</v>
      </c>
      <c r="J75" s="62">
        <v>11.055230268032936</v>
      </c>
      <c r="K75" s="62">
        <v>4.8996701319122637</v>
      </c>
      <c r="L75" s="62">
        <v>2.0284942246711855</v>
      </c>
      <c r="M75" s="62">
        <v>6.0676151339505919</v>
      </c>
    </row>
    <row r="76" spans="1:13" s="19" customFormat="1" ht="15" customHeight="1" x14ac:dyDescent="0.25">
      <c r="A76" s="37"/>
      <c r="B76" s="38" t="s">
        <v>10</v>
      </c>
      <c r="C76" s="36"/>
      <c r="D76" s="101">
        <v>7730.0208979263507</v>
      </c>
      <c r="E76" s="124">
        <v>34.561412931786016</v>
      </c>
      <c r="F76" s="61">
        <v>100</v>
      </c>
      <c r="G76" s="62">
        <v>14.100906365265878</v>
      </c>
      <c r="H76" s="62">
        <v>35.735325106861623</v>
      </c>
      <c r="I76" s="62">
        <v>13.494877780028105</v>
      </c>
      <c r="J76" s="62">
        <v>13.646973460908923</v>
      </c>
      <c r="K76" s="62">
        <v>5.7562053286804726</v>
      </c>
      <c r="L76" s="62">
        <v>1.3511760157337431</v>
      </c>
      <c r="M76" s="62">
        <v>15.914535942521665</v>
      </c>
    </row>
    <row r="77" spans="1:13" s="19" customFormat="1" ht="15" customHeight="1" x14ac:dyDescent="0.25">
      <c r="A77" s="37" t="s">
        <v>72</v>
      </c>
      <c r="B77" s="38"/>
      <c r="C77" s="36" t="s">
        <v>19</v>
      </c>
      <c r="D77" s="101"/>
      <c r="E77" s="124"/>
      <c r="F77" s="61"/>
      <c r="G77" s="62"/>
      <c r="H77" s="62"/>
      <c r="I77" s="62"/>
      <c r="J77" s="62"/>
      <c r="K77" s="62"/>
      <c r="L77" s="62"/>
      <c r="M77" s="62"/>
    </row>
    <row r="78" spans="1:13" s="19" customFormat="1" ht="15" customHeight="1" x14ac:dyDescent="0.25">
      <c r="A78" s="37"/>
      <c r="B78" s="38" t="s">
        <v>123</v>
      </c>
      <c r="C78" s="36"/>
      <c r="D78" s="101">
        <v>4030.6391512038158</v>
      </c>
      <c r="E78" s="124">
        <v>33.216228091455449</v>
      </c>
      <c r="F78" s="61">
        <v>100</v>
      </c>
      <c r="G78" s="62">
        <v>12.567373411196952</v>
      </c>
      <c r="H78" s="62">
        <v>29.713536418343931</v>
      </c>
      <c r="I78" s="62">
        <v>14.175511819764381</v>
      </c>
      <c r="J78" s="62">
        <v>15.083651441366809</v>
      </c>
      <c r="K78" s="62">
        <v>10.596769483794287</v>
      </c>
      <c r="L78" s="62">
        <v>2.5722085370277701</v>
      </c>
      <c r="M78" s="62">
        <v>15.290948888505955</v>
      </c>
    </row>
    <row r="79" spans="1:13" s="19" customFormat="1" ht="15" customHeight="1" x14ac:dyDescent="0.25">
      <c r="A79" s="37"/>
      <c r="B79" s="38" t="s">
        <v>124</v>
      </c>
      <c r="C79" s="36"/>
      <c r="D79" s="101">
        <v>15904.077195425451</v>
      </c>
      <c r="E79" s="124">
        <v>22.877637810696541</v>
      </c>
      <c r="F79" s="61">
        <v>100</v>
      </c>
      <c r="G79" s="62">
        <v>15.048112300774207</v>
      </c>
      <c r="H79" s="62">
        <v>37.873584874905745</v>
      </c>
      <c r="I79" s="62">
        <v>17.468401677608853</v>
      </c>
      <c r="J79" s="62">
        <v>14.415391139504818</v>
      </c>
      <c r="K79" s="62">
        <v>6.3974370329160521</v>
      </c>
      <c r="L79" s="62">
        <v>2.0684645066267153</v>
      </c>
      <c r="M79" s="62">
        <v>6.7286084676640803</v>
      </c>
    </row>
    <row r="80" spans="1:13" s="19" customFormat="1" ht="15" customHeight="1" x14ac:dyDescent="0.25">
      <c r="A80" s="37"/>
      <c r="B80" s="38" t="s">
        <v>219</v>
      </c>
      <c r="C80" s="36"/>
      <c r="D80" s="101">
        <v>7159.3440161138224</v>
      </c>
      <c r="E80" s="124">
        <v>22.686751956783514</v>
      </c>
      <c r="F80" s="61">
        <v>100</v>
      </c>
      <c r="G80" s="62">
        <v>19.057162284837386</v>
      </c>
      <c r="H80" s="62">
        <v>40.839220528193231</v>
      </c>
      <c r="I80" s="62">
        <v>14.422949529074545</v>
      </c>
      <c r="J80" s="62">
        <v>11.779452931044325</v>
      </c>
      <c r="K80" s="62">
        <v>4.492391239963478</v>
      </c>
      <c r="L80" s="62">
        <v>1.2181191568122443</v>
      </c>
      <c r="M80" s="62">
        <v>8.1907043300745226</v>
      </c>
    </row>
    <row r="81" spans="1:13" s="19" customFormat="1" ht="15" customHeight="1" x14ac:dyDescent="0.25">
      <c r="A81" s="37"/>
      <c r="B81" s="38" t="s">
        <v>214</v>
      </c>
      <c r="C81" s="36"/>
      <c r="D81" s="101">
        <v>5502.0086061505999</v>
      </c>
      <c r="E81" s="124">
        <v>20.049347582959921</v>
      </c>
      <c r="F81" s="61">
        <v>100</v>
      </c>
      <c r="G81" s="62">
        <v>21.890252532022217</v>
      </c>
      <c r="H81" s="62">
        <v>44.05869308382232</v>
      </c>
      <c r="I81" s="62">
        <v>12.665491992454335</v>
      </c>
      <c r="J81" s="62">
        <v>9.503045763687469</v>
      </c>
      <c r="K81" s="62">
        <v>4.6410166771891896</v>
      </c>
      <c r="L81" s="62">
        <v>1.5983569578046073</v>
      </c>
      <c r="M81" s="62">
        <v>5.6431429930201302</v>
      </c>
    </row>
    <row r="82" spans="1:13" s="19" customFormat="1" ht="15" customHeight="1" x14ac:dyDescent="0.25">
      <c r="A82" s="37"/>
      <c r="B82" s="38" t="s">
        <v>216</v>
      </c>
      <c r="C82" s="36"/>
      <c r="D82" s="101">
        <v>3499.0435288644135</v>
      </c>
      <c r="E82" s="124">
        <v>25.807296844100513</v>
      </c>
      <c r="F82" s="61">
        <v>100</v>
      </c>
      <c r="G82" s="62">
        <v>16.378491519793439</v>
      </c>
      <c r="H82" s="62">
        <v>36.596544549107236</v>
      </c>
      <c r="I82" s="62">
        <v>14.644545495458729</v>
      </c>
      <c r="J82" s="62">
        <v>13.294932871663761</v>
      </c>
      <c r="K82" s="62">
        <v>7.3565320824281315</v>
      </c>
      <c r="L82" s="62">
        <v>2.3910109856233719</v>
      </c>
      <c r="M82" s="62">
        <v>9.3379424959251658</v>
      </c>
    </row>
    <row r="83" spans="1:13" s="19" customFormat="1" ht="15" customHeight="1" x14ac:dyDescent="0.25">
      <c r="A83" s="37"/>
      <c r="B83" s="38" t="s">
        <v>218</v>
      </c>
      <c r="C83" s="36"/>
      <c r="D83" s="101">
        <v>6012.3902394331017</v>
      </c>
      <c r="E83" s="124">
        <v>25.895995394248548</v>
      </c>
      <c r="F83" s="61">
        <v>100</v>
      </c>
      <c r="G83" s="62">
        <v>15.224325174798011</v>
      </c>
      <c r="H83" s="62">
        <v>35.894242868124714</v>
      </c>
      <c r="I83" s="62">
        <v>17.539050604211951</v>
      </c>
      <c r="J83" s="62">
        <v>13.401595081844031</v>
      </c>
      <c r="K83" s="62">
        <v>6.2308293408878166</v>
      </c>
      <c r="L83" s="62">
        <v>2.3310466884204057</v>
      </c>
      <c r="M83" s="62">
        <v>9.3789102417131698</v>
      </c>
    </row>
    <row r="84" spans="1:13" s="19" customFormat="1" ht="15" customHeight="1" x14ac:dyDescent="0.25">
      <c r="A84" s="37"/>
      <c r="B84" s="38" t="s">
        <v>125</v>
      </c>
      <c r="C84" s="36"/>
      <c r="D84" s="101">
        <v>14227.984374751071</v>
      </c>
      <c r="E84" s="124">
        <v>25.641032936601917</v>
      </c>
      <c r="F84" s="61">
        <v>100</v>
      </c>
      <c r="G84" s="62">
        <v>13.944978555519551</v>
      </c>
      <c r="H84" s="62">
        <v>33.941474978208106</v>
      </c>
      <c r="I84" s="62">
        <v>16.027519400820456</v>
      </c>
      <c r="J84" s="62">
        <v>15.585937417523134</v>
      </c>
      <c r="K84" s="62">
        <v>7.5445695801654029</v>
      </c>
      <c r="L84" s="62">
        <v>3.4579158503315375</v>
      </c>
      <c r="M84" s="62">
        <v>9.4976042174311779</v>
      </c>
    </row>
    <row r="85" spans="1:13" s="19" customFormat="1" ht="15" customHeight="1" x14ac:dyDescent="0.25">
      <c r="A85" s="37"/>
      <c r="B85" s="38" t="s">
        <v>126</v>
      </c>
      <c r="C85" s="36"/>
      <c r="D85" s="101">
        <v>6575.5736914960344</v>
      </c>
      <c r="E85" s="124">
        <v>21.785735149615537</v>
      </c>
      <c r="F85" s="61">
        <v>100</v>
      </c>
      <c r="G85" s="62">
        <v>18.994619254662279</v>
      </c>
      <c r="H85" s="62">
        <v>37.989571941966837</v>
      </c>
      <c r="I85" s="62">
        <v>17.148572031766246</v>
      </c>
      <c r="J85" s="62">
        <v>11.414364654120345</v>
      </c>
      <c r="K85" s="62">
        <v>5.8195922674761142</v>
      </c>
      <c r="L85" s="62">
        <v>1.8473308426141408</v>
      </c>
      <c r="M85" s="62">
        <v>6.785949007394307</v>
      </c>
    </row>
    <row r="86" spans="1:13" s="19" customFormat="1" ht="15" customHeight="1" x14ac:dyDescent="0.25">
      <c r="A86" s="37"/>
      <c r="B86" s="38" t="s">
        <v>127</v>
      </c>
      <c r="C86" s="36"/>
      <c r="D86" s="101">
        <v>1122.3586450610806</v>
      </c>
      <c r="E86" s="124">
        <v>25.074014430551735</v>
      </c>
      <c r="F86" s="61">
        <v>100</v>
      </c>
      <c r="G86" s="62">
        <v>16.422598622667653</v>
      </c>
      <c r="H86" s="62">
        <v>39.606494440617247</v>
      </c>
      <c r="I86" s="62">
        <v>18.059751571588837</v>
      </c>
      <c r="J86" s="62">
        <v>12.30008104105913</v>
      </c>
      <c r="K86" s="62">
        <v>3.8979976816316668</v>
      </c>
      <c r="L86" s="62">
        <v>2.2864019768061148</v>
      </c>
      <c r="M86" s="62">
        <v>7.4266746656295339</v>
      </c>
    </row>
    <row r="87" spans="1:13" s="19" customFormat="1" ht="15" customHeight="1" x14ac:dyDescent="0.25">
      <c r="A87" s="37"/>
      <c r="B87" s="38" t="s">
        <v>12</v>
      </c>
      <c r="C87" s="36"/>
      <c r="D87" s="101">
        <v>854.50084722814552</v>
      </c>
      <c r="E87" s="124">
        <v>19.896488148747402</v>
      </c>
      <c r="F87" s="61">
        <v>100</v>
      </c>
      <c r="G87" s="62">
        <v>18.342287757417836</v>
      </c>
      <c r="H87" s="62">
        <v>42.151665864788022</v>
      </c>
      <c r="I87" s="62">
        <v>17.358369004019668</v>
      </c>
      <c r="J87" s="62">
        <v>11.896537158900404</v>
      </c>
      <c r="K87" s="62">
        <v>3.0788781913977212</v>
      </c>
      <c r="L87" s="62">
        <v>1.0571940975550806</v>
      </c>
      <c r="M87" s="62">
        <v>6.1150679259209966</v>
      </c>
    </row>
    <row r="88" spans="1:13" s="19" customFormat="1" ht="15" customHeight="1" x14ac:dyDescent="0.25">
      <c r="A88" s="63"/>
      <c r="B88" s="64"/>
      <c r="C88" s="65"/>
      <c r="D88" s="106"/>
      <c r="E88" s="128"/>
      <c r="F88" s="67"/>
      <c r="G88" s="69"/>
      <c r="H88" s="69"/>
      <c r="I88" s="69"/>
      <c r="J88" s="69"/>
      <c r="K88" s="69"/>
      <c r="L88" s="69"/>
      <c r="M88" s="69"/>
    </row>
    <row r="89" spans="1:13" s="19" customFormat="1" ht="15" customHeight="1" x14ac:dyDescent="0.25">
      <c r="A89" s="30"/>
      <c r="B89" s="70"/>
      <c r="C89" s="108"/>
      <c r="D89" s="79"/>
      <c r="E89" s="129"/>
      <c r="F89" s="110"/>
      <c r="G89" s="71"/>
      <c r="H89" s="71"/>
      <c r="I89" s="71"/>
      <c r="J89" s="71"/>
      <c r="K89" s="71"/>
      <c r="L89" s="71"/>
      <c r="M89" s="71"/>
    </row>
    <row r="90" spans="1:13" s="19" customFormat="1" ht="15" customHeight="1" x14ac:dyDescent="0.25">
      <c r="A90" s="37" t="s">
        <v>62</v>
      </c>
      <c r="B90" s="38"/>
      <c r="C90" s="36" t="s">
        <v>19</v>
      </c>
      <c r="D90" s="101"/>
      <c r="E90" s="130"/>
      <c r="F90" s="61"/>
      <c r="G90" s="62"/>
      <c r="H90" s="62"/>
      <c r="I90" s="62"/>
      <c r="J90" s="62"/>
      <c r="K90" s="62"/>
      <c r="L90" s="62"/>
      <c r="M90" s="62"/>
    </row>
    <row r="91" spans="1:13" s="19" customFormat="1" ht="15" customHeight="1" x14ac:dyDescent="0.25">
      <c r="A91" s="37"/>
      <c r="B91" s="38" t="s">
        <v>129</v>
      </c>
      <c r="C91" s="36"/>
      <c r="D91" s="101">
        <v>48415.998669773238</v>
      </c>
      <c r="E91" s="124">
        <v>21.849328920221151</v>
      </c>
      <c r="F91" s="61">
        <v>100</v>
      </c>
      <c r="G91" s="62">
        <v>18.826013757366866</v>
      </c>
      <c r="H91" s="62">
        <v>37.421753959586837</v>
      </c>
      <c r="I91" s="62">
        <v>16.209834592082387</v>
      </c>
      <c r="J91" s="62">
        <v>13.603112085955885</v>
      </c>
      <c r="K91" s="62">
        <v>5.7724233399553206</v>
      </c>
      <c r="L91" s="62">
        <v>1.8815891216109206</v>
      </c>
      <c r="M91" s="62">
        <v>6.2852731434439963</v>
      </c>
    </row>
    <row r="92" spans="1:13" s="19" customFormat="1" ht="15" customHeight="1" x14ac:dyDescent="0.25">
      <c r="A92" s="37"/>
      <c r="B92" s="38" t="s">
        <v>130</v>
      </c>
      <c r="C92" s="36"/>
      <c r="D92" s="101">
        <v>77752.619982187229</v>
      </c>
      <c r="E92" s="124">
        <v>21.365624377615926</v>
      </c>
      <c r="F92" s="61">
        <v>100</v>
      </c>
      <c r="G92" s="62">
        <v>19.024257839559706</v>
      </c>
      <c r="H92" s="62">
        <v>38.400249551062402</v>
      </c>
      <c r="I92" s="62">
        <v>16.449630521524295</v>
      </c>
      <c r="J92" s="62">
        <v>12.954621761900006</v>
      </c>
      <c r="K92" s="62">
        <v>5.6281846019974981</v>
      </c>
      <c r="L92" s="62">
        <v>1.8809469158994019</v>
      </c>
      <c r="M92" s="62">
        <v>5.6621088080625501</v>
      </c>
    </row>
    <row r="93" spans="1:13" s="19" customFormat="1" ht="15" customHeight="1" x14ac:dyDescent="0.25">
      <c r="A93" s="37"/>
      <c r="B93" s="38" t="s">
        <v>131</v>
      </c>
      <c r="C93" s="36"/>
      <c r="D93" s="101">
        <v>77202.97822536387</v>
      </c>
      <c r="E93" s="124">
        <v>21.714663934967991</v>
      </c>
      <c r="F93" s="61">
        <v>100</v>
      </c>
      <c r="G93" s="62">
        <v>20.156433541918119</v>
      </c>
      <c r="H93" s="62">
        <v>37.405925913197109</v>
      </c>
      <c r="I93" s="62">
        <v>16.122681113039992</v>
      </c>
      <c r="J93" s="62">
        <v>12.586937742164832</v>
      </c>
      <c r="K93" s="62">
        <v>5.9025179955094567</v>
      </c>
      <c r="L93" s="62">
        <v>1.90146282762732</v>
      </c>
      <c r="M93" s="62">
        <v>5.9240408665452318</v>
      </c>
    </row>
    <row r="94" spans="1:13" s="19" customFormat="1" ht="15" customHeight="1" x14ac:dyDescent="0.25">
      <c r="A94" s="37"/>
      <c r="B94" s="38" t="s">
        <v>132</v>
      </c>
      <c r="C94" s="36"/>
      <c r="D94" s="101">
        <v>77681.231205407516</v>
      </c>
      <c r="E94" s="124">
        <v>22.020970113970577</v>
      </c>
      <c r="F94" s="61">
        <v>100</v>
      </c>
      <c r="G94" s="62">
        <v>19.303915041778342</v>
      </c>
      <c r="H94" s="62">
        <v>38.181274565943419</v>
      </c>
      <c r="I94" s="62">
        <v>16.071139258235924</v>
      </c>
      <c r="J94" s="62">
        <v>12.821290041679116</v>
      </c>
      <c r="K94" s="62">
        <v>5.8969584581986023</v>
      </c>
      <c r="L94" s="62">
        <v>1.6886537414813723</v>
      </c>
      <c r="M94" s="62">
        <v>6.0367688926824918</v>
      </c>
    </row>
    <row r="95" spans="1:13" s="19" customFormat="1" ht="15" customHeight="1" x14ac:dyDescent="0.25">
      <c r="A95" s="37"/>
      <c r="B95" s="38" t="s">
        <v>133</v>
      </c>
      <c r="C95" s="36"/>
      <c r="D95" s="101">
        <v>73739.436765764374</v>
      </c>
      <c r="E95" s="124">
        <v>21.762881930400024</v>
      </c>
      <c r="F95" s="61">
        <v>100</v>
      </c>
      <c r="G95" s="62">
        <v>19.805467136133412</v>
      </c>
      <c r="H95" s="62">
        <v>38.12994148293739</v>
      </c>
      <c r="I95" s="62">
        <v>15.737339180850077</v>
      </c>
      <c r="J95" s="62">
        <v>12.768839917955329</v>
      </c>
      <c r="K95" s="62">
        <v>5.8153841816076168</v>
      </c>
      <c r="L95" s="62">
        <v>1.7636183940618928</v>
      </c>
      <c r="M95" s="62">
        <v>5.9794097064562504</v>
      </c>
    </row>
    <row r="96" spans="1:13" s="19" customFormat="1" ht="15" customHeight="1" x14ac:dyDescent="0.25">
      <c r="A96" s="37"/>
      <c r="B96" s="38" t="s">
        <v>134</v>
      </c>
      <c r="C96" s="36"/>
      <c r="D96" s="101">
        <v>76152.462543797767</v>
      </c>
      <c r="E96" s="124">
        <v>22.045627971459343</v>
      </c>
      <c r="F96" s="61">
        <v>100</v>
      </c>
      <c r="G96" s="62">
        <v>19.667004986860427</v>
      </c>
      <c r="H96" s="62">
        <v>38.21491800264959</v>
      </c>
      <c r="I96" s="62">
        <v>16.191408122016743</v>
      </c>
      <c r="J96" s="62">
        <v>12.132456811727163</v>
      </c>
      <c r="K96" s="62">
        <v>5.9289449015101221</v>
      </c>
      <c r="L96" s="62">
        <v>2.0415958176750757</v>
      </c>
      <c r="M96" s="62">
        <v>5.8236713575633283</v>
      </c>
    </row>
    <row r="97" spans="1:13" s="19" customFormat="1" ht="15" customHeight="1" x14ac:dyDescent="0.25">
      <c r="A97" s="37"/>
      <c r="B97" s="38" t="s">
        <v>135</v>
      </c>
      <c r="C97" s="36"/>
      <c r="D97" s="101">
        <v>75780.758153894247</v>
      </c>
      <c r="E97" s="124">
        <v>22.467276688549184</v>
      </c>
      <c r="F97" s="61">
        <v>100</v>
      </c>
      <c r="G97" s="62">
        <v>18.123025000235689</v>
      </c>
      <c r="H97" s="62">
        <v>38.299377296521094</v>
      </c>
      <c r="I97" s="62">
        <v>16.159876990392018</v>
      </c>
      <c r="J97" s="62">
        <v>12.970744739579658</v>
      </c>
      <c r="K97" s="62">
        <v>5.9982050805575087</v>
      </c>
      <c r="L97" s="62">
        <v>1.8067285925458363</v>
      </c>
      <c r="M97" s="62">
        <v>6.6420423001699413</v>
      </c>
    </row>
    <row r="98" spans="1:13" s="19" customFormat="1" ht="15" customHeight="1" x14ac:dyDescent="0.25">
      <c r="A98" s="37"/>
      <c r="B98" s="38" t="s">
        <v>136</v>
      </c>
      <c r="C98" s="36"/>
      <c r="D98" s="101">
        <v>77382.068358792312</v>
      </c>
      <c r="E98" s="124">
        <v>22.804087967592999</v>
      </c>
      <c r="F98" s="61">
        <v>100</v>
      </c>
      <c r="G98" s="62">
        <v>17.322859102228438</v>
      </c>
      <c r="H98" s="62">
        <v>38.015840268442311</v>
      </c>
      <c r="I98" s="62">
        <v>16.143993394327875</v>
      </c>
      <c r="J98" s="62">
        <v>13.503340452009452</v>
      </c>
      <c r="K98" s="62">
        <v>6.0097819174664444</v>
      </c>
      <c r="L98" s="62">
        <v>2.2305227282499192</v>
      </c>
      <c r="M98" s="62">
        <v>6.7736621372783077</v>
      </c>
    </row>
    <row r="99" spans="1:13" s="19" customFormat="1" ht="15" customHeight="1" x14ac:dyDescent="0.25">
      <c r="A99" s="37"/>
      <c r="B99" s="38" t="s">
        <v>192</v>
      </c>
      <c r="C99" s="36"/>
      <c r="D99" s="101">
        <v>71836.005695597982</v>
      </c>
      <c r="E99" s="124">
        <v>22.462425214520632</v>
      </c>
      <c r="F99" s="61">
        <v>100</v>
      </c>
      <c r="G99" s="62">
        <v>17.315505732560904</v>
      </c>
      <c r="H99" s="62">
        <v>38.099461299289835</v>
      </c>
      <c r="I99" s="62">
        <v>16.483147937501951</v>
      </c>
      <c r="J99" s="62">
        <v>13.817692728223236</v>
      </c>
      <c r="K99" s="62">
        <v>6.1621294210563358</v>
      </c>
      <c r="L99" s="62">
        <v>1.4492231542785248</v>
      </c>
      <c r="M99" s="62">
        <v>6.6728397270897339</v>
      </c>
    </row>
    <row r="100" spans="1:13" s="19" customFormat="1" ht="15" customHeight="1" x14ac:dyDescent="0.25">
      <c r="A100" s="37"/>
      <c r="B100" s="38" t="s">
        <v>193</v>
      </c>
      <c r="C100" s="36"/>
      <c r="D100" s="101">
        <v>70548.11881605511</v>
      </c>
      <c r="E100" s="124">
        <v>21.919529071140797</v>
      </c>
      <c r="F100" s="61">
        <v>100</v>
      </c>
      <c r="G100" s="62">
        <v>17.337002326641496</v>
      </c>
      <c r="H100" s="62">
        <v>39.20158654465255</v>
      </c>
      <c r="I100" s="62">
        <v>15.631297500154403</v>
      </c>
      <c r="J100" s="62">
        <v>13.478098868675467</v>
      </c>
      <c r="K100" s="62">
        <v>5.896032735422855</v>
      </c>
      <c r="L100" s="62">
        <v>1.742952278005433</v>
      </c>
      <c r="M100" s="62">
        <v>6.7130297464454483</v>
      </c>
    </row>
    <row r="101" spans="1:13" s="19" customFormat="1" ht="15" customHeight="1" x14ac:dyDescent="0.25">
      <c r="A101" s="37"/>
      <c r="B101" s="38" t="s">
        <v>205</v>
      </c>
      <c r="C101" s="36"/>
      <c r="D101" s="101">
        <f t="shared" ref="D101:M101" si="0">D$9</f>
        <v>64887.920295731092</v>
      </c>
      <c r="E101" s="124">
        <f t="shared" si="0"/>
        <v>24.190627400883123</v>
      </c>
      <c r="F101" s="61">
        <f t="shared" si="0"/>
        <v>100</v>
      </c>
      <c r="G101" s="62">
        <f t="shared" si="0"/>
        <v>16.229779922465582</v>
      </c>
      <c r="H101" s="62">
        <f t="shared" si="0"/>
        <v>37.201974054689096</v>
      </c>
      <c r="I101" s="62">
        <f t="shared" si="0"/>
        <v>16.035287510102869</v>
      </c>
      <c r="J101" s="62">
        <f t="shared" si="0"/>
        <v>13.477972211272411</v>
      </c>
      <c r="K101" s="62">
        <f t="shared" si="0"/>
        <v>6.4414856777395251</v>
      </c>
      <c r="L101" s="62">
        <f t="shared" si="0"/>
        <v>2.2805038859262261</v>
      </c>
      <c r="M101" s="62">
        <f t="shared" si="0"/>
        <v>8.3329967377990286</v>
      </c>
    </row>
    <row r="102" spans="1:13" ht="5.0999999999999996" customHeight="1" x14ac:dyDescent="0.25">
      <c r="A102" s="111"/>
      <c r="B102" s="112"/>
      <c r="C102" s="113"/>
      <c r="D102" s="115"/>
      <c r="E102" s="116"/>
      <c r="F102" s="117"/>
      <c r="G102" s="118"/>
      <c r="H102" s="118"/>
      <c r="I102" s="118"/>
      <c r="J102" s="118"/>
      <c r="K102" s="118"/>
      <c r="L102" s="118"/>
      <c r="M102" s="118"/>
    </row>
  </sheetData>
  <mergeCells count="14">
    <mergeCell ref="K6:K7"/>
    <mergeCell ref="L6:L7"/>
    <mergeCell ref="M6:M7"/>
    <mergeCell ref="A2:M2"/>
    <mergeCell ref="A1:M1"/>
    <mergeCell ref="A3:M3"/>
    <mergeCell ref="A5:C7"/>
    <mergeCell ref="E5:E7"/>
    <mergeCell ref="F5:F7"/>
    <mergeCell ref="G6:G7"/>
    <mergeCell ref="H6:H7"/>
    <mergeCell ref="I6:I7"/>
    <mergeCell ref="J6:J7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5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F6A8-A140-4EF2-A100-C4FC6150D382}">
  <sheetPr codeName="工作表35"/>
  <dimension ref="A1:M98"/>
  <sheetViews>
    <sheetView showGridLines="0" view="pageBreakPreview" zoomScale="130" zoomScaleNormal="100" zoomScaleSheetLayoutView="130" workbookViewId="0">
      <selection sqref="A1:M1"/>
    </sheetView>
  </sheetViews>
  <sheetFormatPr defaultColWidth="9" defaultRowHeight="11.1" customHeight="1" x14ac:dyDescent="0.25"/>
  <cols>
    <col min="1" max="1" width="1.875" style="18" customWidth="1"/>
    <col min="2" max="2" width="14.375" style="44" customWidth="1"/>
    <col min="3" max="3" width="1.625" style="45" customWidth="1"/>
    <col min="4" max="4" width="7.25" style="88" customWidth="1"/>
    <col min="5" max="5" width="6.875" style="91" customWidth="1"/>
    <col min="6" max="13" width="6.875" style="47" customWidth="1"/>
    <col min="14" max="16384" width="9" style="46"/>
  </cols>
  <sheetData>
    <row r="1" spans="1:13" s="14" customFormat="1" ht="22.15" customHeight="1" x14ac:dyDescent="0.25">
      <c r="A1" s="255" t="s">
        <v>202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1:13" s="14" customFormat="1" ht="16.149999999999999" customHeight="1" x14ac:dyDescent="0.25">
      <c r="A2" s="256" t="s">
        <v>280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</row>
    <row r="3" spans="1:13" s="19" customFormat="1" ht="13.5" customHeight="1" x14ac:dyDescent="0.25">
      <c r="A3" s="257" t="s">
        <v>100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28" customFormat="1" ht="13.5" x14ac:dyDescent="0.25">
      <c r="A4" s="24"/>
      <c r="B4" s="24"/>
      <c r="C4" s="24"/>
      <c r="D4" s="74"/>
      <c r="E4" s="89"/>
      <c r="F4" s="26"/>
      <c r="G4" s="75"/>
      <c r="H4" s="75"/>
      <c r="I4" s="75"/>
      <c r="J4" s="75"/>
      <c r="K4" s="75"/>
      <c r="L4" s="75"/>
      <c r="M4" s="76" t="s">
        <v>138</v>
      </c>
    </row>
    <row r="5" spans="1:13" s="19" customFormat="1" ht="8.25" customHeight="1" x14ac:dyDescent="0.25">
      <c r="A5" s="258" t="s">
        <v>21</v>
      </c>
      <c r="B5" s="258"/>
      <c r="C5" s="259"/>
      <c r="D5" s="259" t="s">
        <v>312</v>
      </c>
      <c r="E5" s="295" t="s">
        <v>71</v>
      </c>
      <c r="F5" s="264" t="s">
        <v>81</v>
      </c>
      <c r="G5" s="51"/>
      <c r="H5" s="51"/>
      <c r="I5" s="51"/>
      <c r="J5" s="51"/>
      <c r="K5" s="51"/>
      <c r="L5" s="51"/>
      <c r="M5" s="51"/>
    </row>
    <row r="6" spans="1:13" s="19" customFormat="1" ht="16.5" customHeight="1" x14ac:dyDescent="0.25">
      <c r="A6" s="260"/>
      <c r="B6" s="260"/>
      <c r="C6" s="261"/>
      <c r="D6" s="261"/>
      <c r="E6" s="296"/>
      <c r="F6" s="265"/>
      <c r="G6" s="270" t="s">
        <v>139</v>
      </c>
      <c r="H6" s="270" t="s">
        <v>140</v>
      </c>
      <c r="I6" s="270" t="s">
        <v>141</v>
      </c>
      <c r="J6" s="270" t="s">
        <v>142</v>
      </c>
      <c r="K6" s="270" t="s">
        <v>128</v>
      </c>
      <c r="L6" s="270" t="s">
        <v>143</v>
      </c>
      <c r="M6" s="272" t="s">
        <v>137</v>
      </c>
    </row>
    <row r="7" spans="1:13" s="19" customFormat="1" ht="25.5" customHeight="1" x14ac:dyDescent="0.25">
      <c r="A7" s="262"/>
      <c r="B7" s="262"/>
      <c r="C7" s="263"/>
      <c r="D7" s="263"/>
      <c r="E7" s="297"/>
      <c r="F7" s="266"/>
      <c r="G7" s="271"/>
      <c r="H7" s="271"/>
      <c r="I7" s="271"/>
      <c r="J7" s="271"/>
      <c r="K7" s="271"/>
      <c r="L7" s="271"/>
      <c r="M7" s="273"/>
    </row>
    <row r="8" spans="1:13" s="19" customFormat="1" ht="4.5" customHeight="1" x14ac:dyDescent="0.25">
      <c r="A8" s="30"/>
      <c r="B8" s="31"/>
      <c r="C8" s="77"/>
      <c r="D8" s="79"/>
      <c r="E8" s="90"/>
      <c r="F8" s="80"/>
      <c r="G8" s="81"/>
      <c r="H8" s="81"/>
      <c r="I8" s="81"/>
      <c r="J8" s="81"/>
      <c r="K8" s="81"/>
      <c r="L8" s="81"/>
      <c r="M8" s="81"/>
    </row>
    <row r="9" spans="1:13" s="18" customFormat="1" ht="12.75" customHeight="1" x14ac:dyDescent="0.25">
      <c r="A9" s="33" t="s">
        <v>22</v>
      </c>
      <c r="B9" s="54"/>
      <c r="C9" s="55"/>
      <c r="D9" s="98">
        <v>32106.115920671153</v>
      </c>
      <c r="E9" s="99">
        <v>25.327024973228422</v>
      </c>
      <c r="F9" s="57">
        <v>100</v>
      </c>
      <c r="G9" s="58">
        <v>10.640250308747866</v>
      </c>
      <c r="H9" s="58">
        <v>33.983993493640867</v>
      </c>
      <c r="I9" s="58">
        <v>18.69939010651132</v>
      </c>
      <c r="J9" s="58">
        <v>16.374569648471624</v>
      </c>
      <c r="K9" s="58">
        <v>8.5567706934743697</v>
      </c>
      <c r="L9" s="58">
        <v>3.2426039261062418</v>
      </c>
      <c r="M9" s="58">
        <v>8.502421823047742</v>
      </c>
    </row>
    <row r="10" spans="1:13" s="19" customFormat="1" ht="12" customHeight="1" x14ac:dyDescent="0.25">
      <c r="A10" s="37" t="s">
        <v>23</v>
      </c>
      <c r="B10" s="38"/>
      <c r="C10" s="36" t="s">
        <v>19</v>
      </c>
      <c r="D10" s="101"/>
      <c r="E10" s="102"/>
      <c r="F10" s="61"/>
      <c r="G10" s="62"/>
      <c r="H10" s="62"/>
      <c r="I10" s="62"/>
      <c r="J10" s="62"/>
      <c r="K10" s="62"/>
      <c r="L10" s="62"/>
      <c r="M10" s="62"/>
    </row>
    <row r="11" spans="1:13" s="19" customFormat="1" ht="12" customHeight="1" x14ac:dyDescent="0.25">
      <c r="A11" s="37"/>
      <c r="B11" s="38" t="s">
        <v>24</v>
      </c>
      <c r="C11" s="36"/>
      <c r="D11" s="101">
        <v>5906.7609331408139</v>
      </c>
      <c r="E11" s="102">
        <v>30.168813050364214</v>
      </c>
      <c r="F11" s="61">
        <v>100</v>
      </c>
      <c r="G11" s="62">
        <v>6.8332911890992234</v>
      </c>
      <c r="H11" s="62">
        <v>27.400585186217434</v>
      </c>
      <c r="I11" s="62">
        <v>16.207036458007504</v>
      </c>
      <c r="J11" s="62">
        <v>19.878893981531682</v>
      </c>
      <c r="K11" s="62">
        <v>11.295003640653952</v>
      </c>
      <c r="L11" s="62">
        <v>4.5717954641520091</v>
      </c>
      <c r="M11" s="62">
        <v>13.813394080338092</v>
      </c>
    </row>
    <row r="12" spans="1:13" s="19" customFormat="1" ht="12" customHeight="1" x14ac:dyDescent="0.25">
      <c r="A12" s="37"/>
      <c r="B12" s="38" t="s">
        <v>25</v>
      </c>
      <c r="C12" s="36"/>
      <c r="D12" s="101">
        <v>3318.2473052599753</v>
      </c>
      <c r="E12" s="102">
        <v>26.65832917325023</v>
      </c>
      <c r="F12" s="61">
        <v>100</v>
      </c>
      <c r="G12" s="62">
        <v>5.3540755517646943</v>
      </c>
      <c r="H12" s="62">
        <v>32.932699071242958</v>
      </c>
      <c r="I12" s="62">
        <v>21.286116980241996</v>
      </c>
      <c r="J12" s="62">
        <v>16.612479191345717</v>
      </c>
      <c r="K12" s="62">
        <v>11.851097467584323</v>
      </c>
      <c r="L12" s="62">
        <v>5.4161060401955901</v>
      </c>
      <c r="M12" s="62">
        <v>6.547425697624643</v>
      </c>
    </row>
    <row r="13" spans="1:13" s="19" customFormat="1" ht="12" customHeight="1" x14ac:dyDescent="0.25">
      <c r="A13" s="37"/>
      <c r="B13" s="38" t="s">
        <v>26</v>
      </c>
      <c r="C13" s="36"/>
      <c r="D13" s="101">
        <v>3478.8092547962287</v>
      </c>
      <c r="E13" s="102">
        <v>29.408875896368794</v>
      </c>
      <c r="F13" s="61">
        <v>100</v>
      </c>
      <c r="G13" s="62">
        <v>9.0211508977345929</v>
      </c>
      <c r="H13" s="62">
        <v>29.330482313563113</v>
      </c>
      <c r="I13" s="62">
        <v>17.325047735497524</v>
      </c>
      <c r="J13" s="62">
        <v>15.464249374683897</v>
      </c>
      <c r="K13" s="62">
        <v>10.098198794635371</v>
      </c>
      <c r="L13" s="62">
        <v>4.7253244741675431</v>
      </c>
      <c r="M13" s="62">
        <v>14.035546409718322</v>
      </c>
    </row>
    <row r="14" spans="1:13" s="19" customFormat="1" ht="12" customHeight="1" x14ac:dyDescent="0.25">
      <c r="A14" s="37"/>
      <c r="B14" s="38" t="s">
        <v>27</v>
      </c>
      <c r="C14" s="36"/>
      <c r="D14" s="101">
        <v>3785.8766890675511</v>
      </c>
      <c r="E14" s="102">
        <v>21.840701747573217</v>
      </c>
      <c r="F14" s="61">
        <v>100</v>
      </c>
      <c r="G14" s="62">
        <v>12.022097903897174</v>
      </c>
      <c r="H14" s="62">
        <v>37.730338975604411</v>
      </c>
      <c r="I14" s="62">
        <v>20.877662733896877</v>
      </c>
      <c r="J14" s="62">
        <v>16.231911164217397</v>
      </c>
      <c r="K14" s="62">
        <v>6.9450489834266325</v>
      </c>
      <c r="L14" s="62">
        <v>1.4766202986232724</v>
      </c>
      <c r="M14" s="62">
        <v>4.7163199403344098</v>
      </c>
    </row>
    <row r="15" spans="1:13" s="19" customFormat="1" ht="12" customHeight="1" x14ac:dyDescent="0.25">
      <c r="A15" s="37"/>
      <c r="B15" s="38" t="s">
        <v>28</v>
      </c>
      <c r="C15" s="36"/>
      <c r="D15" s="101">
        <v>2685.2630901535808</v>
      </c>
      <c r="E15" s="102">
        <v>21.520635030566741</v>
      </c>
      <c r="F15" s="61">
        <v>100</v>
      </c>
      <c r="G15" s="62">
        <v>11.771922042127134</v>
      </c>
      <c r="H15" s="62">
        <v>38.280542554120913</v>
      </c>
      <c r="I15" s="62">
        <v>20.166361748680647</v>
      </c>
      <c r="J15" s="62">
        <v>15.880771170987154</v>
      </c>
      <c r="K15" s="62">
        <v>7.2516813246732292</v>
      </c>
      <c r="L15" s="62">
        <v>2.1581623044021541</v>
      </c>
      <c r="M15" s="62">
        <v>4.4905588550082651</v>
      </c>
    </row>
    <row r="16" spans="1:13" s="19" customFormat="1" ht="12" customHeight="1" x14ac:dyDescent="0.25">
      <c r="A16" s="37"/>
      <c r="B16" s="38" t="s">
        <v>29</v>
      </c>
      <c r="C16" s="36"/>
      <c r="D16" s="101">
        <v>3773.6844423994507</v>
      </c>
      <c r="E16" s="102">
        <v>26.520092579661689</v>
      </c>
      <c r="F16" s="61">
        <v>100</v>
      </c>
      <c r="G16" s="62">
        <v>10.451401310475971</v>
      </c>
      <c r="H16" s="62">
        <v>32.065675191000771</v>
      </c>
      <c r="I16" s="62">
        <v>21.225693761681576</v>
      </c>
      <c r="J16" s="62">
        <v>17.457515342133558</v>
      </c>
      <c r="K16" s="62">
        <v>8.7890663434078764</v>
      </c>
      <c r="L16" s="62">
        <v>2.5615341700979082</v>
      </c>
      <c r="M16" s="62">
        <v>7.449113881202182</v>
      </c>
    </row>
    <row r="17" spans="1:13" s="19" customFormat="1" ht="12" customHeight="1" x14ac:dyDescent="0.25">
      <c r="A17" s="37"/>
      <c r="B17" s="38" t="s">
        <v>30</v>
      </c>
      <c r="C17" s="36"/>
      <c r="D17" s="101">
        <v>563.75292110615055</v>
      </c>
      <c r="E17" s="102">
        <v>23.360632958696474</v>
      </c>
      <c r="F17" s="61">
        <v>100</v>
      </c>
      <c r="G17" s="62">
        <v>9.6949050034495716</v>
      </c>
      <c r="H17" s="62">
        <v>45.124553454287039</v>
      </c>
      <c r="I17" s="62">
        <v>18.887226961961428</v>
      </c>
      <c r="J17" s="62">
        <v>13.968780225388413</v>
      </c>
      <c r="K17" s="62">
        <v>1.8336718179673357</v>
      </c>
      <c r="L17" s="62">
        <v>1.3150571849743338</v>
      </c>
      <c r="M17" s="62">
        <v>9.1758053519718885</v>
      </c>
    </row>
    <row r="18" spans="1:13" s="19" customFormat="1" ht="12" customHeight="1" x14ac:dyDescent="0.25">
      <c r="A18" s="37"/>
      <c r="B18" s="38" t="s">
        <v>31</v>
      </c>
      <c r="C18" s="36"/>
      <c r="D18" s="101">
        <v>891.33821781809331</v>
      </c>
      <c r="E18" s="102">
        <v>23.602423262623798</v>
      </c>
      <c r="F18" s="61">
        <v>100</v>
      </c>
      <c r="G18" s="62">
        <v>11.92629844015563</v>
      </c>
      <c r="H18" s="62">
        <v>33.032570249886199</v>
      </c>
      <c r="I18" s="62">
        <v>19.062886739735607</v>
      </c>
      <c r="J18" s="62">
        <v>17.81997323097962</v>
      </c>
      <c r="K18" s="62">
        <v>9.3175138086492471</v>
      </c>
      <c r="L18" s="62">
        <v>2.987903998553</v>
      </c>
      <c r="M18" s="62">
        <v>5.8528535320406174</v>
      </c>
    </row>
    <row r="19" spans="1:13" s="19" customFormat="1" ht="12" customHeight="1" x14ac:dyDescent="0.25">
      <c r="A19" s="37"/>
      <c r="B19" s="38" t="s">
        <v>32</v>
      </c>
      <c r="C19" s="36"/>
      <c r="D19" s="101">
        <v>673.08903033431193</v>
      </c>
      <c r="E19" s="102">
        <v>23.973740594048024</v>
      </c>
      <c r="F19" s="61">
        <v>100</v>
      </c>
      <c r="G19" s="62">
        <v>12.949566965003935</v>
      </c>
      <c r="H19" s="62">
        <v>37.925615695047405</v>
      </c>
      <c r="I19" s="62">
        <v>16.340187884232712</v>
      </c>
      <c r="J19" s="62">
        <v>13.04083151233</v>
      </c>
      <c r="K19" s="62">
        <v>8.5770936030781026</v>
      </c>
      <c r="L19" s="62">
        <v>2.2067083920147099</v>
      </c>
      <c r="M19" s="62">
        <v>8.9599959482933738</v>
      </c>
    </row>
    <row r="20" spans="1:13" s="19" customFormat="1" ht="12" customHeight="1" x14ac:dyDescent="0.25">
      <c r="A20" s="37"/>
      <c r="B20" s="38" t="s">
        <v>33</v>
      </c>
      <c r="C20" s="36"/>
      <c r="D20" s="101">
        <v>1713.7600928608465</v>
      </c>
      <c r="E20" s="102">
        <v>22.37723461944497</v>
      </c>
      <c r="F20" s="61">
        <v>100</v>
      </c>
      <c r="G20" s="62">
        <v>15.416364597784376</v>
      </c>
      <c r="H20" s="62">
        <v>36.471640053698053</v>
      </c>
      <c r="I20" s="62">
        <v>17.362077603860584</v>
      </c>
      <c r="J20" s="62">
        <v>15.257519580973559</v>
      </c>
      <c r="K20" s="62">
        <v>7.1101923927341089</v>
      </c>
      <c r="L20" s="62">
        <v>2.609921474071013</v>
      </c>
      <c r="M20" s="62">
        <v>5.7722842968783787</v>
      </c>
    </row>
    <row r="21" spans="1:13" s="19" customFormat="1" ht="12" customHeight="1" x14ac:dyDescent="0.25">
      <c r="A21" s="37"/>
      <c r="B21" s="38" t="s">
        <v>34</v>
      </c>
      <c r="C21" s="36"/>
      <c r="D21" s="101">
        <v>593.54043259362459</v>
      </c>
      <c r="E21" s="102">
        <v>22.156176864086479</v>
      </c>
      <c r="F21" s="61">
        <v>100</v>
      </c>
      <c r="G21" s="62">
        <v>17.577162595653469</v>
      </c>
      <c r="H21" s="62">
        <v>35.402081388106716</v>
      </c>
      <c r="I21" s="62">
        <v>14.690217804803039</v>
      </c>
      <c r="J21" s="62">
        <v>16.721404159351895</v>
      </c>
      <c r="K21" s="62">
        <v>5.841559524546506</v>
      </c>
      <c r="L21" s="62">
        <v>3.253690158340635</v>
      </c>
      <c r="M21" s="62">
        <v>6.5138843691976414</v>
      </c>
    </row>
    <row r="22" spans="1:13" s="19" customFormat="1" ht="12" customHeight="1" x14ac:dyDescent="0.25">
      <c r="A22" s="37"/>
      <c r="B22" s="38" t="s">
        <v>35</v>
      </c>
      <c r="C22" s="36"/>
      <c r="D22" s="101">
        <v>836.75965732502664</v>
      </c>
      <c r="E22" s="102">
        <v>22.108774107184324</v>
      </c>
      <c r="F22" s="61">
        <v>100</v>
      </c>
      <c r="G22" s="62">
        <v>19.379713556796297</v>
      </c>
      <c r="H22" s="62">
        <v>36.637407040235935</v>
      </c>
      <c r="I22" s="62">
        <v>17.130311968593958</v>
      </c>
      <c r="J22" s="62">
        <v>9.1044267499478782</v>
      </c>
      <c r="K22" s="62">
        <v>5.4832101441796786</v>
      </c>
      <c r="L22" s="62">
        <v>2.8182852232401174</v>
      </c>
      <c r="M22" s="62">
        <v>9.4466453170062064</v>
      </c>
    </row>
    <row r="23" spans="1:13" s="19" customFormat="1" ht="12" customHeight="1" x14ac:dyDescent="0.25">
      <c r="A23" s="37"/>
      <c r="B23" s="38" t="s">
        <v>36</v>
      </c>
      <c r="C23" s="36"/>
      <c r="D23" s="101">
        <v>586.09709874814757</v>
      </c>
      <c r="E23" s="102">
        <v>20.346165883017495</v>
      </c>
      <c r="F23" s="61">
        <v>100</v>
      </c>
      <c r="G23" s="62">
        <v>15.296910945509847</v>
      </c>
      <c r="H23" s="62">
        <v>36.644123486733761</v>
      </c>
      <c r="I23" s="62">
        <v>23.604352538223814</v>
      </c>
      <c r="J23" s="62">
        <v>14.826010842647618</v>
      </c>
      <c r="K23" s="62">
        <v>2.4584053549669682</v>
      </c>
      <c r="L23" s="62">
        <v>3.7147427397974848</v>
      </c>
      <c r="M23" s="62">
        <v>3.4554540921204269</v>
      </c>
    </row>
    <row r="24" spans="1:13" s="19" customFormat="1" ht="12" customHeight="1" x14ac:dyDescent="0.25">
      <c r="A24" s="37"/>
      <c r="B24" s="38" t="s">
        <v>37</v>
      </c>
      <c r="C24" s="36"/>
      <c r="D24" s="101">
        <v>934.97654800948521</v>
      </c>
      <c r="E24" s="102">
        <v>21.135800747377839</v>
      </c>
      <c r="F24" s="61">
        <v>100</v>
      </c>
      <c r="G24" s="62">
        <v>16.92803194088555</v>
      </c>
      <c r="H24" s="62">
        <v>38.132638929168898</v>
      </c>
      <c r="I24" s="62">
        <v>14.91806058395361</v>
      </c>
      <c r="J24" s="62">
        <v>16.995027016461723</v>
      </c>
      <c r="K24" s="62">
        <v>5.6033539703309438</v>
      </c>
      <c r="L24" s="62">
        <v>2.1441741681097395</v>
      </c>
      <c r="M24" s="62">
        <v>5.2787133910894219</v>
      </c>
    </row>
    <row r="25" spans="1:13" s="19" customFormat="1" ht="12" customHeight="1" x14ac:dyDescent="0.25">
      <c r="A25" s="37"/>
      <c r="B25" s="38" t="s">
        <v>38</v>
      </c>
      <c r="C25" s="36"/>
      <c r="D25" s="101">
        <v>232.18980990844696</v>
      </c>
      <c r="E25" s="102">
        <v>19.580396000939182</v>
      </c>
      <c r="F25" s="61">
        <v>100</v>
      </c>
      <c r="G25" s="62">
        <v>24.403111084832748</v>
      </c>
      <c r="H25" s="62">
        <v>41.623521700677706</v>
      </c>
      <c r="I25" s="62">
        <v>12.465526391768204</v>
      </c>
      <c r="J25" s="62">
        <v>10.27708372064739</v>
      </c>
      <c r="K25" s="62">
        <v>4.7388004249609521</v>
      </c>
      <c r="L25" s="62">
        <v>1.4169801153112376</v>
      </c>
      <c r="M25" s="62">
        <v>5.0749765618019032</v>
      </c>
    </row>
    <row r="26" spans="1:13" s="19" customFormat="1" ht="12" customHeight="1" x14ac:dyDescent="0.25">
      <c r="A26" s="37"/>
      <c r="B26" s="38" t="s">
        <v>39</v>
      </c>
      <c r="C26" s="36"/>
      <c r="D26" s="101">
        <v>391.99660199231988</v>
      </c>
      <c r="E26" s="102">
        <v>17.139547320393405</v>
      </c>
      <c r="F26" s="61">
        <v>100</v>
      </c>
      <c r="G26" s="62">
        <v>18.563558542365243</v>
      </c>
      <c r="H26" s="62">
        <v>46.334422923183098</v>
      </c>
      <c r="I26" s="62">
        <v>19.736024668838894</v>
      </c>
      <c r="J26" s="62">
        <v>9.9591926878744736</v>
      </c>
      <c r="K26" s="62">
        <v>3.305785571917673</v>
      </c>
      <c r="L26" s="62">
        <v>0.27900756828766582</v>
      </c>
      <c r="M26" s="62">
        <v>1.822008037532675</v>
      </c>
    </row>
    <row r="27" spans="1:13" s="19" customFormat="1" ht="12" customHeight="1" x14ac:dyDescent="0.25">
      <c r="A27" s="37"/>
      <c r="B27" s="38" t="s">
        <v>40</v>
      </c>
      <c r="C27" s="36"/>
      <c r="D27" s="101">
        <v>119.05946257080498</v>
      </c>
      <c r="E27" s="102">
        <v>13.584861666495941</v>
      </c>
      <c r="F27" s="61">
        <v>100</v>
      </c>
      <c r="G27" s="62">
        <v>32.038512166813028</v>
      </c>
      <c r="H27" s="62">
        <v>47.922290347205134</v>
      </c>
      <c r="I27" s="62">
        <v>10.68453734804543</v>
      </c>
      <c r="J27" s="62">
        <v>6.179024324398303</v>
      </c>
      <c r="K27" s="62">
        <v>1.8670376224604925</v>
      </c>
      <c r="L27" s="62">
        <v>0.2070623090013263</v>
      </c>
      <c r="M27" s="62">
        <v>1.1015358820760968</v>
      </c>
    </row>
    <row r="28" spans="1:13" s="19" customFormat="1" ht="12" customHeight="1" x14ac:dyDescent="0.25">
      <c r="A28" s="37"/>
      <c r="B28" s="38" t="s">
        <v>41</v>
      </c>
      <c r="C28" s="36"/>
      <c r="D28" s="101">
        <v>478.87426643232982</v>
      </c>
      <c r="E28" s="102">
        <v>32.206258629597762</v>
      </c>
      <c r="F28" s="61">
        <v>100</v>
      </c>
      <c r="G28" s="62">
        <v>6.5686215213609396</v>
      </c>
      <c r="H28" s="62">
        <v>32.609174869781413</v>
      </c>
      <c r="I28" s="62">
        <v>15.708849451011362</v>
      </c>
      <c r="J28" s="62">
        <v>9.7796952023779173</v>
      </c>
      <c r="K28" s="62">
        <v>10.513209131992523</v>
      </c>
      <c r="L28" s="62">
        <v>3.3927222665046122</v>
      </c>
      <c r="M28" s="62">
        <v>21.427727556970726</v>
      </c>
    </row>
    <row r="29" spans="1:13" s="19" customFormat="1" ht="12" customHeight="1" x14ac:dyDescent="0.25">
      <c r="A29" s="37"/>
      <c r="B29" s="38" t="s">
        <v>42</v>
      </c>
      <c r="C29" s="36"/>
      <c r="D29" s="101">
        <v>634.85141418401292</v>
      </c>
      <c r="E29" s="102">
        <v>21.685959981843727</v>
      </c>
      <c r="F29" s="61">
        <v>100</v>
      </c>
      <c r="G29" s="62">
        <v>5.8959842784634207</v>
      </c>
      <c r="H29" s="62">
        <v>44.138144033977667</v>
      </c>
      <c r="I29" s="62">
        <v>19.922269650125386</v>
      </c>
      <c r="J29" s="62">
        <v>19.732026022414544</v>
      </c>
      <c r="K29" s="62">
        <v>4.3611509714304493</v>
      </c>
      <c r="L29" s="62">
        <v>1.3907196471539267</v>
      </c>
      <c r="M29" s="62">
        <v>4.5597053964349232</v>
      </c>
    </row>
    <row r="30" spans="1:13" s="19" customFormat="1" ht="12" customHeight="1" x14ac:dyDescent="0.25">
      <c r="A30" s="37"/>
      <c r="B30" s="38" t="s">
        <v>43</v>
      </c>
      <c r="C30" s="36"/>
      <c r="D30" s="101">
        <v>320.47093959726993</v>
      </c>
      <c r="E30" s="102">
        <v>21.812292893689254</v>
      </c>
      <c r="F30" s="61">
        <v>100</v>
      </c>
      <c r="G30" s="62">
        <v>13.114566825986271</v>
      </c>
      <c r="H30" s="62">
        <v>41.406533887648841</v>
      </c>
      <c r="I30" s="62">
        <v>18.095018154760503</v>
      </c>
      <c r="J30" s="62">
        <v>10.663990496926806</v>
      </c>
      <c r="K30" s="62">
        <v>6.2666245478641711</v>
      </c>
      <c r="L30" s="62">
        <v>2.5916628791288314</v>
      </c>
      <c r="M30" s="62">
        <v>7.8616032076845519</v>
      </c>
    </row>
    <row r="31" spans="1:13" s="19" customFormat="1" ht="12" customHeight="1" x14ac:dyDescent="0.25">
      <c r="A31" s="37"/>
      <c r="B31" s="38" t="s">
        <v>44</v>
      </c>
      <c r="C31" s="36"/>
      <c r="D31" s="101">
        <v>173.59045059567589</v>
      </c>
      <c r="E31" s="102">
        <v>13.91974068568207</v>
      </c>
      <c r="F31" s="61">
        <v>100</v>
      </c>
      <c r="G31" s="62">
        <v>24.716021943916079</v>
      </c>
      <c r="H31" s="62">
        <v>49.743200512535566</v>
      </c>
      <c r="I31" s="62">
        <v>19.121319605574627</v>
      </c>
      <c r="J31" s="62">
        <v>5.1461007074990484</v>
      </c>
      <c r="K31" s="62">
        <v>0.91053919339212641</v>
      </c>
      <c r="L31" s="62">
        <v>0</v>
      </c>
      <c r="M31" s="62">
        <v>0.3628180370826774</v>
      </c>
    </row>
    <row r="32" spans="1:13" s="19" customFormat="1" ht="12" customHeight="1" x14ac:dyDescent="0.25">
      <c r="A32" s="37"/>
      <c r="B32" s="38" t="s">
        <v>45</v>
      </c>
      <c r="C32" s="36"/>
      <c r="D32" s="101">
        <v>13.1272617769864</v>
      </c>
      <c r="E32" s="102">
        <v>9.4207931997654946</v>
      </c>
      <c r="F32" s="61">
        <v>100</v>
      </c>
      <c r="G32" s="62">
        <v>55.390370089795049</v>
      </c>
      <c r="H32" s="62">
        <v>38.295171644820421</v>
      </c>
      <c r="I32" s="62">
        <v>1.5357232163258094</v>
      </c>
      <c r="J32" s="62">
        <v>4.11373648105236</v>
      </c>
      <c r="K32" s="62">
        <v>0</v>
      </c>
      <c r="L32" s="62">
        <v>0.39890174740225454</v>
      </c>
      <c r="M32" s="62">
        <v>0.26609682060445972</v>
      </c>
    </row>
    <row r="33" spans="1:13" s="19" customFormat="1" ht="12" customHeight="1" x14ac:dyDescent="0.25">
      <c r="A33" s="37" t="s">
        <v>232</v>
      </c>
      <c r="B33" s="38"/>
      <c r="C33" s="36" t="s">
        <v>92</v>
      </c>
      <c r="D33" s="60"/>
      <c r="E33" s="102"/>
      <c r="F33" s="61"/>
      <c r="G33" s="62"/>
      <c r="H33" s="62"/>
      <c r="I33" s="62"/>
      <c r="J33" s="62"/>
      <c r="K33" s="62"/>
      <c r="L33" s="62"/>
      <c r="M33" s="62"/>
    </row>
    <row r="34" spans="1:13" s="19" customFormat="1" ht="12" customHeight="1" x14ac:dyDescent="0.25">
      <c r="A34" s="37"/>
      <c r="B34" s="38" t="s">
        <v>233</v>
      </c>
      <c r="C34" s="36"/>
      <c r="D34" s="101">
        <v>22948.641714817422</v>
      </c>
      <c r="E34" s="102">
        <v>26.5601774521149</v>
      </c>
      <c r="F34" s="61">
        <v>100</v>
      </c>
      <c r="G34" s="62">
        <v>8.9799129944060638</v>
      </c>
      <c r="H34" s="62">
        <v>32.23738411092674</v>
      </c>
      <c r="I34" s="62">
        <v>19.170003428993976</v>
      </c>
      <c r="J34" s="62">
        <v>17.269718367496033</v>
      </c>
      <c r="K34" s="62">
        <v>9.5911733171876268</v>
      </c>
      <c r="L34" s="62">
        <v>3.5935434978861331</v>
      </c>
      <c r="M34" s="62">
        <v>9.1582642831042893</v>
      </c>
    </row>
    <row r="35" spans="1:13" s="19" customFormat="1" ht="12" customHeight="1" x14ac:dyDescent="0.25">
      <c r="A35" s="37"/>
      <c r="B35" s="38" t="s">
        <v>234</v>
      </c>
      <c r="C35" s="36"/>
      <c r="D35" s="101">
        <v>9157.4742058532938</v>
      </c>
      <c r="E35" s="102">
        <v>22.236743332074948</v>
      </c>
      <c r="F35" s="61">
        <v>100</v>
      </c>
      <c r="G35" s="62">
        <v>14.801057677249307</v>
      </c>
      <c r="H35" s="62">
        <v>38.36099877245897</v>
      </c>
      <c r="I35" s="62">
        <v>17.52003253682663</v>
      </c>
      <c r="J35" s="62">
        <v>14.131325848643778</v>
      </c>
      <c r="K35" s="62">
        <v>5.9645564358260943</v>
      </c>
      <c r="L35" s="62">
        <v>2.3631489240731542</v>
      </c>
      <c r="M35" s="62">
        <v>6.8588798049247899</v>
      </c>
    </row>
    <row r="36" spans="1:13" s="19" customFormat="1" ht="12" customHeight="1" x14ac:dyDescent="0.25">
      <c r="A36" s="37" t="s">
        <v>46</v>
      </c>
      <c r="B36" s="38"/>
      <c r="C36" s="36" t="s">
        <v>19</v>
      </c>
      <c r="D36" s="101"/>
      <c r="E36" s="102"/>
      <c r="F36" s="61"/>
      <c r="G36" s="62"/>
      <c r="H36" s="62"/>
      <c r="I36" s="62"/>
      <c r="J36" s="62"/>
      <c r="K36" s="62"/>
      <c r="L36" s="62"/>
      <c r="M36" s="62"/>
    </row>
    <row r="37" spans="1:13" s="19" customFormat="1" ht="12" customHeight="1" x14ac:dyDescent="0.25">
      <c r="A37" s="37"/>
      <c r="B37" s="38" t="s">
        <v>47</v>
      </c>
      <c r="C37" s="36"/>
      <c r="D37" s="101">
        <v>17133.13632685379</v>
      </c>
      <c r="E37" s="102">
        <v>26.609004097745899</v>
      </c>
      <c r="F37" s="61">
        <v>100</v>
      </c>
      <c r="G37" s="62">
        <v>10.381563548036985</v>
      </c>
      <c r="H37" s="62">
        <v>31.5821180760787</v>
      </c>
      <c r="I37" s="62">
        <v>18.175442905067008</v>
      </c>
      <c r="J37" s="62">
        <v>17.60460876305465</v>
      </c>
      <c r="K37" s="62">
        <v>9.8207665950341134</v>
      </c>
      <c r="L37" s="62">
        <v>2.9380277595778832</v>
      </c>
      <c r="M37" s="62">
        <v>9.4974723531503678</v>
      </c>
    </row>
    <row r="38" spans="1:13" s="19" customFormat="1" ht="12" customHeight="1" x14ac:dyDescent="0.25">
      <c r="A38" s="37"/>
      <c r="B38" s="38" t="s">
        <v>48</v>
      </c>
      <c r="C38" s="36"/>
      <c r="D38" s="101">
        <v>14972.979593817503</v>
      </c>
      <c r="E38" s="102">
        <v>23.860094295142115</v>
      </c>
      <c r="F38" s="61">
        <v>100</v>
      </c>
      <c r="G38" s="62">
        <v>10.936257894241418</v>
      </c>
      <c r="H38" s="62">
        <v>36.732388274476236</v>
      </c>
      <c r="I38" s="62">
        <v>19.298927344518663</v>
      </c>
      <c r="J38" s="62">
        <v>14.967072382782534</v>
      </c>
      <c r="K38" s="62">
        <v>7.1104176838869773</v>
      </c>
      <c r="L38" s="62">
        <v>3.5911213972176927</v>
      </c>
      <c r="M38" s="62">
        <v>7.3638150228758121</v>
      </c>
    </row>
    <row r="39" spans="1:13" s="19" customFormat="1" ht="12" customHeight="1" x14ac:dyDescent="0.25">
      <c r="A39" s="37" t="s">
        <v>49</v>
      </c>
      <c r="B39" s="38"/>
      <c r="C39" s="36" t="s">
        <v>19</v>
      </c>
      <c r="D39" s="101"/>
      <c r="E39" s="102"/>
      <c r="F39" s="61"/>
      <c r="G39" s="62"/>
      <c r="H39" s="62"/>
      <c r="I39" s="62"/>
      <c r="J39" s="62"/>
      <c r="K39" s="62"/>
      <c r="L39" s="62"/>
      <c r="M39" s="62"/>
    </row>
    <row r="40" spans="1:13" s="19" customFormat="1" ht="12" customHeight="1" x14ac:dyDescent="0.25">
      <c r="A40" s="37"/>
      <c r="B40" s="38" t="s">
        <v>107</v>
      </c>
      <c r="C40" s="36"/>
      <c r="D40" s="101">
        <v>1526.1898004193806</v>
      </c>
      <c r="E40" s="102">
        <v>26.923394764376315</v>
      </c>
      <c r="F40" s="61">
        <v>100</v>
      </c>
      <c r="G40" s="62">
        <v>6.1975952088648949</v>
      </c>
      <c r="H40" s="62">
        <v>33.723556976852542</v>
      </c>
      <c r="I40" s="62">
        <v>16.488642573682093</v>
      </c>
      <c r="J40" s="62">
        <v>22.711064065756098</v>
      </c>
      <c r="K40" s="62">
        <v>9.3098113333028056</v>
      </c>
      <c r="L40" s="62">
        <v>2.2843708749715979</v>
      </c>
      <c r="M40" s="62">
        <v>9.2849589665695085</v>
      </c>
    </row>
    <row r="41" spans="1:13" s="19" customFormat="1" ht="12" customHeight="1" x14ac:dyDescent="0.25">
      <c r="A41" s="37"/>
      <c r="B41" s="38" t="s">
        <v>108</v>
      </c>
      <c r="C41" s="36"/>
      <c r="D41" s="101">
        <v>710.6782109367964</v>
      </c>
      <c r="E41" s="102">
        <v>24.535501931704662</v>
      </c>
      <c r="F41" s="61">
        <v>100</v>
      </c>
      <c r="G41" s="62">
        <v>10.565559649617972</v>
      </c>
      <c r="H41" s="62">
        <v>42.801960372817781</v>
      </c>
      <c r="I41" s="62">
        <v>13.054673545054996</v>
      </c>
      <c r="J41" s="62">
        <v>13.700679968641417</v>
      </c>
      <c r="K41" s="62">
        <v>9.1875436393681191</v>
      </c>
      <c r="L41" s="62">
        <v>2.5359255345888685</v>
      </c>
      <c r="M41" s="62">
        <v>8.1536572899113224</v>
      </c>
    </row>
    <row r="42" spans="1:13" s="19" customFormat="1" ht="12" customHeight="1" x14ac:dyDescent="0.25">
      <c r="A42" s="37"/>
      <c r="B42" s="38" t="s">
        <v>109</v>
      </c>
      <c r="C42" s="36"/>
      <c r="D42" s="101">
        <v>5373.6001186730755</v>
      </c>
      <c r="E42" s="102">
        <v>23.822074037411387</v>
      </c>
      <c r="F42" s="61">
        <v>100</v>
      </c>
      <c r="G42" s="62">
        <v>12.578468774079139</v>
      </c>
      <c r="H42" s="62">
        <v>35.464166429177176</v>
      </c>
      <c r="I42" s="62">
        <v>19.134632439912576</v>
      </c>
      <c r="J42" s="62">
        <v>16.370307096861339</v>
      </c>
      <c r="K42" s="62">
        <v>6.7805306184926568</v>
      </c>
      <c r="L42" s="62">
        <v>2.3070743190103196</v>
      </c>
      <c r="M42" s="62">
        <v>7.3648203224674758</v>
      </c>
    </row>
    <row r="43" spans="1:13" s="19" customFormat="1" ht="12" customHeight="1" x14ac:dyDescent="0.25">
      <c r="A43" s="37"/>
      <c r="B43" s="38" t="s">
        <v>110</v>
      </c>
      <c r="C43" s="36"/>
      <c r="D43" s="101">
        <v>7063.5663375663989</v>
      </c>
      <c r="E43" s="102">
        <v>25.372392484685687</v>
      </c>
      <c r="F43" s="61">
        <v>100</v>
      </c>
      <c r="G43" s="62">
        <v>9.4948811090157754</v>
      </c>
      <c r="H43" s="62">
        <v>33.539949858332029</v>
      </c>
      <c r="I43" s="62">
        <v>18.960103493806177</v>
      </c>
      <c r="J43" s="62">
        <v>17.504348824760676</v>
      </c>
      <c r="K43" s="62">
        <v>8.7978985163537367</v>
      </c>
      <c r="L43" s="62">
        <v>3.4442435939560347</v>
      </c>
      <c r="M43" s="62">
        <v>8.2585746037751182</v>
      </c>
    </row>
    <row r="44" spans="1:13" s="19" customFormat="1" ht="12" customHeight="1" x14ac:dyDescent="0.25">
      <c r="A44" s="37"/>
      <c r="B44" s="38" t="s">
        <v>111</v>
      </c>
      <c r="C44" s="36"/>
      <c r="D44" s="101">
        <v>8159.5508509876854</v>
      </c>
      <c r="E44" s="102">
        <v>25.639663286494386</v>
      </c>
      <c r="F44" s="61">
        <v>100</v>
      </c>
      <c r="G44" s="62">
        <v>9.467345778008907</v>
      </c>
      <c r="H44" s="62">
        <v>34.016507837788282</v>
      </c>
      <c r="I44" s="62">
        <v>19.495865921741739</v>
      </c>
      <c r="J44" s="62">
        <v>15.858211927502492</v>
      </c>
      <c r="K44" s="62">
        <v>8.4826713682854749</v>
      </c>
      <c r="L44" s="62">
        <v>4.0195603195317524</v>
      </c>
      <c r="M44" s="62">
        <v>8.659836847141607</v>
      </c>
    </row>
    <row r="45" spans="1:13" s="19" customFormat="1" ht="12" customHeight="1" x14ac:dyDescent="0.25">
      <c r="A45" s="37"/>
      <c r="B45" s="38" t="s">
        <v>112</v>
      </c>
      <c r="C45" s="36"/>
      <c r="D45" s="101">
        <v>6164.8811461970781</v>
      </c>
      <c r="E45" s="102">
        <v>26.752035172493681</v>
      </c>
      <c r="F45" s="61">
        <v>100</v>
      </c>
      <c r="G45" s="62">
        <v>11.253043257662808</v>
      </c>
      <c r="H45" s="62">
        <v>32.164048458542027</v>
      </c>
      <c r="I45" s="62">
        <v>18.142918223637313</v>
      </c>
      <c r="J45" s="62">
        <v>15.177832033839962</v>
      </c>
      <c r="K45" s="62">
        <v>10.123351268225726</v>
      </c>
      <c r="L45" s="62">
        <v>3.4642594764331642</v>
      </c>
      <c r="M45" s="62">
        <v>9.6745472816583575</v>
      </c>
    </row>
    <row r="46" spans="1:13" s="19" customFormat="1" ht="12" customHeight="1" x14ac:dyDescent="0.25">
      <c r="A46" s="37"/>
      <c r="B46" s="38" t="s">
        <v>113</v>
      </c>
      <c r="C46" s="36"/>
      <c r="D46" s="101">
        <v>1827.5909344277336</v>
      </c>
      <c r="E46" s="102">
        <v>23.610773964693319</v>
      </c>
      <c r="F46" s="61">
        <v>100</v>
      </c>
      <c r="G46" s="62">
        <v>13.728705137364413</v>
      </c>
      <c r="H46" s="62">
        <v>33.647982349623177</v>
      </c>
      <c r="I46" s="62">
        <v>19.742949708498006</v>
      </c>
      <c r="J46" s="62">
        <v>15.227442933428486</v>
      </c>
      <c r="K46" s="62">
        <v>6.9896647006556165</v>
      </c>
      <c r="L46" s="62">
        <v>2.7885305689769901</v>
      </c>
      <c r="M46" s="62">
        <v>7.8747246014529493</v>
      </c>
    </row>
    <row r="47" spans="1:13" s="19" customFormat="1" ht="12" customHeight="1" x14ac:dyDescent="0.25">
      <c r="A47" s="37"/>
      <c r="B47" s="38" t="s">
        <v>114</v>
      </c>
      <c r="C47" s="36"/>
      <c r="D47" s="101">
        <v>1280.0585214630098</v>
      </c>
      <c r="E47" s="102">
        <v>23.524998803416079</v>
      </c>
      <c r="F47" s="61">
        <v>100</v>
      </c>
      <c r="G47" s="62">
        <v>14.278164210808429</v>
      </c>
      <c r="H47" s="62">
        <v>34.672982424951854</v>
      </c>
      <c r="I47" s="62">
        <v>17.316414958972356</v>
      </c>
      <c r="J47" s="62">
        <v>14.780648535762253</v>
      </c>
      <c r="K47" s="62">
        <v>8.5996475150660796</v>
      </c>
      <c r="L47" s="62">
        <v>2.2202274724604778</v>
      </c>
      <c r="M47" s="62">
        <v>8.1319148819786573</v>
      </c>
    </row>
    <row r="48" spans="1:13" s="19" customFormat="1" ht="12" customHeight="1" x14ac:dyDescent="0.25">
      <c r="A48" s="37" t="s">
        <v>50</v>
      </c>
      <c r="B48" s="38"/>
      <c r="C48" s="36" t="s">
        <v>19</v>
      </c>
      <c r="D48" s="101"/>
      <c r="E48" s="102"/>
      <c r="F48" s="61"/>
      <c r="G48" s="62"/>
      <c r="H48" s="62"/>
      <c r="I48" s="62"/>
      <c r="J48" s="62"/>
      <c r="K48" s="62"/>
      <c r="L48" s="62"/>
      <c r="M48" s="62"/>
    </row>
    <row r="49" spans="1:13" s="19" customFormat="1" ht="12" customHeight="1" x14ac:dyDescent="0.25">
      <c r="A49" s="37"/>
      <c r="B49" s="38" t="s">
        <v>3</v>
      </c>
      <c r="C49" s="36"/>
      <c r="D49" s="101">
        <v>486.93466969090099</v>
      </c>
      <c r="E49" s="102">
        <v>24.659831453798411</v>
      </c>
      <c r="F49" s="61">
        <v>100</v>
      </c>
      <c r="G49" s="62">
        <v>18.563753531956866</v>
      </c>
      <c r="H49" s="62">
        <v>36.476949047908981</v>
      </c>
      <c r="I49" s="62">
        <v>12.241929983739135</v>
      </c>
      <c r="J49" s="62">
        <v>7.8347038606779309</v>
      </c>
      <c r="K49" s="62">
        <v>5.6006135982869907</v>
      </c>
      <c r="L49" s="62">
        <v>3.2179145148579873</v>
      </c>
      <c r="M49" s="62">
        <v>16.064135462572111</v>
      </c>
    </row>
    <row r="50" spans="1:13" s="19" customFormat="1" ht="12" customHeight="1" x14ac:dyDescent="0.25">
      <c r="A50" s="37"/>
      <c r="B50" s="38" t="s">
        <v>115</v>
      </c>
      <c r="C50" s="36"/>
      <c r="D50" s="101">
        <v>1807.0097280126874</v>
      </c>
      <c r="E50" s="102">
        <v>23.844042511126318</v>
      </c>
      <c r="F50" s="61">
        <v>100</v>
      </c>
      <c r="G50" s="62">
        <v>14.027023616089416</v>
      </c>
      <c r="H50" s="62">
        <v>36.045922598840924</v>
      </c>
      <c r="I50" s="62">
        <v>15.081146746192278</v>
      </c>
      <c r="J50" s="62">
        <v>17.185516056895146</v>
      </c>
      <c r="K50" s="62">
        <v>9.0801089496607066</v>
      </c>
      <c r="L50" s="62">
        <v>2.5776586604346026</v>
      </c>
      <c r="M50" s="62">
        <v>6.0026233718867816</v>
      </c>
    </row>
    <row r="51" spans="1:13" s="19" customFormat="1" ht="12" customHeight="1" x14ac:dyDescent="0.25">
      <c r="A51" s="37"/>
      <c r="B51" s="38" t="s">
        <v>116</v>
      </c>
      <c r="C51" s="36"/>
      <c r="D51" s="101">
        <v>8466.3440801218694</v>
      </c>
      <c r="E51" s="102">
        <v>24.15787410866189</v>
      </c>
      <c r="F51" s="61">
        <v>100</v>
      </c>
      <c r="G51" s="62">
        <v>11.882476953164609</v>
      </c>
      <c r="H51" s="62">
        <v>34.714510164589242</v>
      </c>
      <c r="I51" s="62">
        <v>19.209998323017604</v>
      </c>
      <c r="J51" s="62">
        <v>17.187369628133506</v>
      </c>
      <c r="K51" s="62">
        <v>7.5870100073446523</v>
      </c>
      <c r="L51" s="62">
        <v>2.4169364278268839</v>
      </c>
      <c r="M51" s="62">
        <v>7.0016984959236535</v>
      </c>
    </row>
    <row r="52" spans="1:13" s="19" customFormat="1" ht="12" customHeight="1" x14ac:dyDescent="0.25">
      <c r="A52" s="37"/>
      <c r="B52" s="38" t="s">
        <v>51</v>
      </c>
      <c r="C52" s="36"/>
      <c r="D52" s="101">
        <v>3404.3641334555932</v>
      </c>
      <c r="E52" s="102">
        <v>25.764622668951265</v>
      </c>
      <c r="F52" s="61">
        <v>100</v>
      </c>
      <c r="G52" s="62">
        <v>9.9316943208544135</v>
      </c>
      <c r="H52" s="62">
        <v>34.436812838050813</v>
      </c>
      <c r="I52" s="62">
        <v>19.612072776645789</v>
      </c>
      <c r="J52" s="62">
        <v>13.976109318792245</v>
      </c>
      <c r="K52" s="62">
        <v>8.1197782150671944</v>
      </c>
      <c r="L52" s="62">
        <v>4.8399652745471888</v>
      </c>
      <c r="M52" s="62">
        <v>9.0835672560424037</v>
      </c>
    </row>
    <row r="53" spans="1:13" s="19" customFormat="1" ht="12" customHeight="1" x14ac:dyDescent="0.25">
      <c r="A53" s="37"/>
      <c r="B53" s="38" t="s">
        <v>52</v>
      </c>
      <c r="C53" s="36"/>
      <c r="D53" s="101">
        <v>13369.834166224764</v>
      </c>
      <c r="E53" s="102">
        <v>25.417524734304713</v>
      </c>
      <c r="F53" s="61">
        <v>100</v>
      </c>
      <c r="G53" s="62">
        <v>10.466894053438725</v>
      </c>
      <c r="H53" s="62">
        <v>34.610208808056292</v>
      </c>
      <c r="I53" s="62">
        <v>17.968514171270463</v>
      </c>
      <c r="J53" s="62">
        <v>16.36498969193876</v>
      </c>
      <c r="K53" s="62">
        <v>8.3337379476225362</v>
      </c>
      <c r="L53" s="62">
        <v>3.261389631573508</v>
      </c>
      <c r="M53" s="62">
        <v>8.9942656960984024</v>
      </c>
    </row>
    <row r="54" spans="1:13" s="19" customFormat="1" ht="12" customHeight="1" x14ac:dyDescent="0.25">
      <c r="A54" s="37"/>
      <c r="B54" s="38" t="s">
        <v>4</v>
      </c>
      <c r="C54" s="36"/>
      <c r="D54" s="101">
        <v>4545.5974368581592</v>
      </c>
      <c r="E54" s="102">
        <v>27.591837049814249</v>
      </c>
      <c r="F54" s="61">
        <v>100</v>
      </c>
      <c r="G54" s="62">
        <v>7.0870015879968546</v>
      </c>
      <c r="H54" s="62">
        <v>29.305930121289396</v>
      </c>
      <c r="I54" s="62">
        <v>21.440952167815571</v>
      </c>
      <c r="J54" s="62">
        <v>17.359305225849447</v>
      </c>
      <c r="K54" s="62">
        <v>11.392315282685631</v>
      </c>
      <c r="L54" s="62">
        <v>3.8144141072251974</v>
      </c>
      <c r="M54" s="62">
        <v>9.6000815071382526</v>
      </c>
    </row>
    <row r="55" spans="1:13" s="19" customFormat="1" ht="12" customHeight="1" x14ac:dyDescent="0.25">
      <c r="A55" s="37"/>
      <c r="B55" s="38" t="s">
        <v>117</v>
      </c>
      <c r="C55" s="36"/>
      <c r="D55" s="101">
        <v>26.031706307276469</v>
      </c>
      <c r="E55" s="102">
        <v>21.809937979775881</v>
      </c>
      <c r="F55" s="61">
        <v>100</v>
      </c>
      <c r="G55" s="62">
        <v>25.479320596308884</v>
      </c>
      <c r="H55" s="62">
        <v>42.665641079901263</v>
      </c>
      <c r="I55" s="62">
        <v>1.8785847545968593</v>
      </c>
      <c r="J55" s="62">
        <v>2.1084136555412623</v>
      </c>
      <c r="K55" s="62">
        <v>19.48397724921481</v>
      </c>
      <c r="L55" s="62">
        <v>0</v>
      </c>
      <c r="M55" s="62">
        <v>8.3840626644369092</v>
      </c>
    </row>
    <row r="56" spans="1:13" s="85" customFormat="1" ht="6" customHeight="1" x14ac:dyDescent="0.25">
      <c r="A56" s="39"/>
      <c r="B56" s="40"/>
      <c r="C56" s="82"/>
      <c r="D56" s="103"/>
      <c r="E56" s="104"/>
      <c r="F56" s="83"/>
      <c r="G56" s="84"/>
      <c r="H56" s="84"/>
      <c r="I56" s="84"/>
      <c r="J56" s="84"/>
      <c r="K56" s="84"/>
      <c r="L56" s="84"/>
      <c r="M56" s="84"/>
    </row>
    <row r="57" spans="1:13" s="19" customFormat="1" ht="15" customHeight="1" x14ac:dyDescent="0.25">
      <c r="A57" s="37" t="s">
        <v>53</v>
      </c>
      <c r="B57" s="38"/>
      <c r="C57" s="36" t="s">
        <v>19</v>
      </c>
      <c r="D57" s="101"/>
      <c r="E57" s="102"/>
      <c r="F57" s="61"/>
      <c r="G57" s="62"/>
      <c r="H57" s="62"/>
      <c r="I57" s="62"/>
      <c r="J57" s="62"/>
      <c r="K57" s="62"/>
      <c r="L57" s="62"/>
      <c r="M57" s="62"/>
    </row>
    <row r="58" spans="1:13" s="19" customFormat="1" ht="15" customHeight="1" x14ac:dyDescent="0.25">
      <c r="A58" s="37"/>
      <c r="B58" s="38" t="s">
        <v>54</v>
      </c>
      <c r="C58" s="36"/>
      <c r="D58" s="101">
        <v>916.79981331676754</v>
      </c>
      <c r="E58" s="102">
        <v>17.359716650618466</v>
      </c>
      <c r="F58" s="61">
        <v>100</v>
      </c>
      <c r="G58" s="62">
        <v>31.483923650833312</v>
      </c>
      <c r="H58" s="62">
        <v>36.995644428809236</v>
      </c>
      <c r="I58" s="62">
        <v>13.377631925522966</v>
      </c>
      <c r="J58" s="62">
        <v>8.380805098138616</v>
      </c>
      <c r="K58" s="62">
        <v>2.8459831793163359</v>
      </c>
      <c r="L58" s="62">
        <v>1.2432421027307683</v>
      </c>
      <c r="M58" s="62">
        <v>5.6727696146488089</v>
      </c>
    </row>
    <row r="59" spans="1:13" s="19" customFormat="1" ht="15" customHeight="1" x14ac:dyDescent="0.25">
      <c r="A59" s="37"/>
      <c r="B59" s="38" t="s">
        <v>55</v>
      </c>
      <c r="C59" s="36"/>
      <c r="D59" s="101">
        <v>10006.096290304515</v>
      </c>
      <c r="E59" s="102">
        <v>26.828825524393864</v>
      </c>
      <c r="F59" s="61">
        <v>100</v>
      </c>
      <c r="G59" s="62">
        <v>8.6315896062934865</v>
      </c>
      <c r="H59" s="62">
        <v>31.88242378584167</v>
      </c>
      <c r="I59" s="62">
        <v>19.06471441009802</v>
      </c>
      <c r="J59" s="62">
        <v>17.536595076477891</v>
      </c>
      <c r="K59" s="62">
        <v>9.6321447715040964</v>
      </c>
      <c r="L59" s="62">
        <v>3.8268078861305486</v>
      </c>
      <c r="M59" s="62">
        <v>9.4257244636541504</v>
      </c>
    </row>
    <row r="60" spans="1:13" s="19" customFormat="1" ht="15" customHeight="1" x14ac:dyDescent="0.25">
      <c r="A60" s="37"/>
      <c r="B60" s="38" t="s">
        <v>211</v>
      </c>
      <c r="C60" s="36"/>
      <c r="D60" s="101">
        <v>1821.8874154661123</v>
      </c>
      <c r="E60" s="102">
        <v>25.132112119896419</v>
      </c>
      <c r="F60" s="61">
        <v>100</v>
      </c>
      <c r="G60" s="62">
        <v>8.7700339108481611</v>
      </c>
      <c r="H60" s="62">
        <v>32.881840022674069</v>
      </c>
      <c r="I60" s="62">
        <v>25.007355907709396</v>
      </c>
      <c r="J60" s="62">
        <v>14.873750301831537</v>
      </c>
      <c r="K60" s="62">
        <v>8.3229249881716747</v>
      </c>
      <c r="L60" s="62">
        <v>2.1776864100395708</v>
      </c>
      <c r="M60" s="62">
        <v>7.9664084587257573</v>
      </c>
    </row>
    <row r="61" spans="1:13" s="19" customFormat="1" ht="15" customHeight="1" x14ac:dyDescent="0.25">
      <c r="A61" s="37"/>
      <c r="B61" s="38" t="s">
        <v>212</v>
      </c>
      <c r="C61" s="36"/>
      <c r="D61" s="101">
        <v>1166.1208051244635</v>
      </c>
      <c r="E61" s="102">
        <v>19.295682908372381</v>
      </c>
      <c r="F61" s="61">
        <v>100</v>
      </c>
      <c r="G61" s="62">
        <v>17.184047004486782</v>
      </c>
      <c r="H61" s="62">
        <v>39.053855083087392</v>
      </c>
      <c r="I61" s="62">
        <v>20.989328570129519</v>
      </c>
      <c r="J61" s="62">
        <v>12.595725554757434</v>
      </c>
      <c r="K61" s="62">
        <v>4.5465167560666417</v>
      </c>
      <c r="L61" s="62">
        <v>0.22529736320376056</v>
      </c>
      <c r="M61" s="62">
        <v>5.4052296682686842</v>
      </c>
    </row>
    <row r="62" spans="1:13" s="19" customFormat="1" ht="15" customHeight="1" x14ac:dyDescent="0.25">
      <c r="A62" s="37"/>
      <c r="B62" s="38" t="s">
        <v>56</v>
      </c>
      <c r="C62" s="36"/>
      <c r="D62" s="101">
        <v>12973.84895804623</v>
      </c>
      <c r="E62" s="102">
        <v>25.444967197642246</v>
      </c>
      <c r="F62" s="61">
        <v>100</v>
      </c>
      <c r="G62" s="62">
        <v>10.204024021109287</v>
      </c>
      <c r="H62" s="62">
        <v>34.459954458007786</v>
      </c>
      <c r="I62" s="62">
        <v>18.037839920884498</v>
      </c>
      <c r="J62" s="62">
        <v>16.980360059735641</v>
      </c>
      <c r="K62" s="62">
        <v>8.6063980672254043</v>
      </c>
      <c r="L62" s="62">
        <v>3.5361300673659204</v>
      </c>
      <c r="M62" s="62">
        <v>8.1752934056702014</v>
      </c>
    </row>
    <row r="63" spans="1:13" s="19" customFormat="1" ht="15" customHeight="1" x14ac:dyDescent="0.25">
      <c r="A63" s="37"/>
      <c r="B63" s="38" t="s">
        <v>57</v>
      </c>
      <c r="C63" s="36"/>
      <c r="D63" s="101">
        <v>2482.4557290902276</v>
      </c>
      <c r="E63" s="102">
        <v>24.035787493380401</v>
      </c>
      <c r="F63" s="61">
        <v>100</v>
      </c>
      <c r="G63" s="62">
        <v>10.432640911599254</v>
      </c>
      <c r="H63" s="62">
        <v>36.167639071046985</v>
      </c>
      <c r="I63" s="62">
        <v>21.651954459308385</v>
      </c>
      <c r="J63" s="62">
        <v>12.124469185152762</v>
      </c>
      <c r="K63" s="62">
        <v>8.8195981550269611</v>
      </c>
      <c r="L63" s="62">
        <v>2.7233179692797078</v>
      </c>
      <c r="M63" s="62">
        <v>8.0803802485863159</v>
      </c>
    </row>
    <row r="64" spans="1:13" s="19" customFormat="1" ht="15" customHeight="1" x14ac:dyDescent="0.25">
      <c r="A64" s="37"/>
      <c r="B64" s="38" t="s">
        <v>204</v>
      </c>
      <c r="C64" s="36"/>
      <c r="D64" s="101">
        <v>134.72561850333122</v>
      </c>
      <c r="E64" s="102">
        <v>21.772525166350043</v>
      </c>
      <c r="F64" s="61">
        <v>100</v>
      </c>
      <c r="G64" s="62">
        <v>17.708933448026905</v>
      </c>
      <c r="H64" s="62">
        <v>41.959133555251832</v>
      </c>
      <c r="I64" s="62">
        <v>5.3461558188691791</v>
      </c>
      <c r="J64" s="62">
        <v>21.053653073812963</v>
      </c>
      <c r="K64" s="62">
        <v>2.5256948565845661</v>
      </c>
      <c r="L64" s="62">
        <v>0.80301869445879337</v>
      </c>
      <c r="M64" s="62">
        <v>10.603410552995729</v>
      </c>
    </row>
    <row r="65" spans="1:13" s="19" customFormat="1" ht="15" customHeight="1" x14ac:dyDescent="0.25">
      <c r="A65" s="37"/>
      <c r="B65" s="38" t="s">
        <v>58</v>
      </c>
      <c r="C65" s="36"/>
      <c r="D65" s="101">
        <v>0</v>
      </c>
      <c r="E65" s="102">
        <v>0</v>
      </c>
      <c r="F65" s="61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</row>
    <row r="66" spans="1:13" s="19" customFormat="1" ht="15" customHeight="1" x14ac:dyDescent="0.25">
      <c r="A66" s="37"/>
      <c r="B66" s="38" t="s">
        <v>59</v>
      </c>
      <c r="C66" s="36"/>
      <c r="D66" s="101">
        <v>0</v>
      </c>
      <c r="E66" s="102">
        <v>0</v>
      </c>
      <c r="F66" s="61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</row>
    <row r="67" spans="1:13" s="19" customFormat="1" ht="15" customHeight="1" x14ac:dyDescent="0.25">
      <c r="A67" s="37"/>
      <c r="B67" s="38" t="s">
        <v>61</v>
      </c>
      <c r="C67" s="36"/>
      <c r="D67" s="101">
        <v>2529.5137282931801</v>
      </c>
      <c r="E67" s="102">
        <v>25.717746658062605</v>
      </c>
      <c r="F67" s="61">
        <v>100</v>
      </c>
      <c r="G67" s="62">
        <v>11.23710184161323</v>
      </c>
      <c r="H67" s="62">
        <v>35.298446931268984</v>
      </c>
      <c r="I67" s="62">
        <v>15.10590066574696</v>
      </c>
      <c r="J67" s="62">
        <v>18.351749943729192</v>
      </c>
      <c r="K67" s="62">
        <v>8.3800088891518456</v>
      </c>
      <c r="L67" s="62">
        <v>2.6258713781976066</v>
      </c>
      <c r="M67" s="62">
        <v>9.000920350292299</v>
      </c>
    </row>
    <row r="68" spans="1:13" s="19" customFormat="1" ht="15" customHeight="1" x14ac:dyDescent="0.25">
      <c r="A68" s="37"/>
      <c r="B68" s="38" t="s">
        <v>60</v>
      </c>
      <c r="C68" s="36"/>
      <c r="D68" s="101">
        <v>0</v>
      </c>
      <c r="E68" s="102">
        <v>0</v>
      </c>
      <c r="F68" s="61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</row>
    <row r="69" spans="1:13" s="19" customFormat="1" ht="15" customHeight="1" x14ac:dyDescent="0.25">
      <c r="A69" s="37"/>
      <c r="B69" s="38" t="s">
        <v>117</v>
      </c>
      <c r="C69" s="36"/>
      <c r="D69" s="101">
        <v>74.667562526457004</v>
      </c>
      <c r="E69" s="102">
        <v>36.462652861685115</v>
      </c>
      <c r="F69" s="61">
        <v>100</v>
      </c>
      <c r="G69" s="62">
        <v>17.05108062133062</v>
      </c>
      <c r="H69" s="62">
        <v>12.128766518468218</v>
      </c>
      <c r="I69" s="62">
        <v>8.022918213789163</v>
      </c>
      <c r="J69" s="62">
        <v>15.059567037074496</v>
      </c>
      <c r="K69" s="62">
        <v>2.4119296345276822</v>
      </c>
      <c r="L69" s="62">
        <v>14.167909019444879</v>
      </c>
      <c r="M69" s="62">
        <v>31.15782895536498</v>
      </c>
    </row>
    <row r="70" spans="1:13" s="19" customFormat="1" ht="15" customHeight="1" x14ac:dyDescent="0.25">
      <c r="A70" s="37" t="s">
        <v>5</v>
      </c>
      <c r="B70" s="38"/>
      <c r="C70" s="36" t="s">
        <v>19</v>
      </c>
      <c r="D70" s="101"/>
      <c r="E70" s="102"/>
      <c r="F70" s="61"/>
      <c r="G70" s="62"/>
      <c r="H70" s="62"/>
      <c r="I70" s="62"/>
      <c r="J70" s="62"/>
      <c r="K70" s="62"/>
      <c r="L70" s="62"/>
      <c r="M70" s="62"/>
    </row>
    <row r="71" spans="1:13" s="19" customFormat="1" ht="15" customHeight="1" x14ac:dyDescent="0.25">
      <c r="A71" s="37"/>
      <c r="B71" s="38" t="s">
        <v>6</v>
      </c>
      <c r="C71" s="36"/>
      <c r="D71" s="101">
        <v>29158.712404131529</v>
      </c>
      <c r="E71" s="102">
        <v>25.316845502410679</v>
      </c>
      <c r="F71" s="61">
        <v>100</v>
      </c>
      <c r="G71" s="62">
        <v>10.53762784566544</v>
      </c>
      <c r="H71" s="62">
        <v>33.864883065411547</v>
      </c>
      <c r="I71" s="62">
        <v>19.102797176099969</v>
      </c>
      <c r="J71" s="62">
        <v>16.160906820482865</v>
      </c>
      <c r="K71" s="62">
        <v>8.5265673405252311</v>
      </c>
      <c r="L71" s="62">
        <v>3.3285841944532271</v>
      </c>
      <c r="M71" s="62">
        <v>8.478633557361718</v>
      </c>
    </row>
    <row r="72" spans="1:13" s="19" customFormat="1" ht="15" customHeight="1" x14ac:dyDescent="0.25">
      <c r="A72" s="37"/>
      <c r="B72" s="38" t="s">
        <v>7</v>
      </c>
      <c r="C72" s="36"/>
      <c r="D72" s="101">
        <v>2947.4035165396022</v>
      </c>
      <c r="E72" s="102">
        <v>25.427730648693537</v>
      </c>
      <c r="F72" s="61">
        <v>100</v>
      </c>
      <c r="G72" s="62">
        <v>11.65549605655014</v>
      </c>
      <c r="H72" s="62">
        <v>35.162354957071656</v>
      </c>
      <c r="I72" s="62">
        <v>14.708477203706842</v>
      </c>
      <c r="J72" s="62">
        <v>18.488339587950733</v>
      </c>
      <c r="K72" s="62">
        <v>8.8555729705778532</v>
      </c>
      <c r="L72" s="62">
        <v>2.3919996898382943</v>
      </c>
      <c r="M72" s="62">
        <v>8.7377595343043701</v>
      </c>
    </row>
    <row r="73" spans="1:13" s="19" customFormat="1" ht="15" customHeight="1" x14ac:dyDescent="0.25">
      <c r="A73" s="37" t="s">
        <v>72</v>
      </c>
      <c r="B73" s="38"/>
      <c r="C73" s="36" t="s">
        <v>19</v>
      </c>
      <c r="D73" s="101"/>
      <c r="E73" s="102"/>
      <c r="F73" s="61"/>
      <c r="G73" s="62"/>
      <c r="H73" s="62"/>
      <c r="I73" s="62"/>
      <c r="J73" s="62"/>
      <c r="K73" s="62"/>
      <c r="L73" s="62"/>
      <c r="M73" s="62"/>
    </row>
    <row r="74" spans="1:13" s="19" customFormat="1" ht="15" customHeight="1" x14ac:dyDescent="0.25">
      <c r="A74" s="37"/>
      <c r="B74" s="38" t="s">
        <v>123</v>
      </c>
      <c r="C74" s="36"/>
      <c r="D74" s="101">
        <v>2474.1491651443998</v>
      </c>
      <c r="E74" s="102">
        <v>31.783667968976399</v>
      </c>
      <c r="F74" s="61">
        <v>100</v>
      </c>
      <c r="G74" s="62">
        <v>8.6568217203871782</v>
      </c>
      <c r="H74" s="62">
        <v>25.993447096565429</v>
      </c>
      <c r="I74" s="62">
        <v>13.874812925988822</v>
      </c>
      <c r="J74" s="62">
        <v>18.036710631463571</v>
      </c>
      <c r="K74" s="62">
        <v>14.017915850743831</v>
      </c>
      <c r="L74" s="62">
        <v>3.9972999450661177</v>
      </c>
      <c r="M74" s="62">
        <v>15.422991829785099</v>
      </c>
    </row>
    <row r="75" spans="1:13" s="19" customFormat="1" ht="15" customHeight="1" x14ac:dyDescent="0.25">
      <c r="A75" s="37"/>
      <c r="B75" s="38" t="s">
        <v>124</v>
      </c>
      <c r="C75" s="36"/>
      <c r="D75" s="101">
        <v>10793.951970132242</v>
      </c>
      <c r="E75" s="102">
        <v>23.372837231002293</v>
      </c>
      <c r="F75" s="61">
        <v>100</v>
      </c>
      <c r="G75" s="62">
        <v>9.6767865064362812</v>
      </c>
      <c r="H75" s="62">
        <v>35.686213361105722</v>
      </c>
      <c r="I75" s="62">
        <v>20.969834034910381</v>
      </c>
      <c r="J75" s="62">
        <v>16.827102019961529</v>
      </c>
      <c r="K75" s="62">
        <v>7.9972190137031127</v>
      </c>
      <c r="L75" s="62">
        <v>2.6993619180395112</v>
      </c>
      <c r="M75" s="62">
        <v>6.143483145843847</v>
      </c>
    </row>
    <row r="76" spans="1:13" s="19" customFormat="1" ht="15" customHeight="1" x14ac:dyDescent="0.25">
      <c r="A76" s="37"/>
      <c r="B76" s="38" t="s">
        <v>219</v>
      </c>
      <c r="C76" s="36"/>
      <c r="D76" s="101">
        <v>1984.5860755793108</v>
      </c>
      <c r="E76" s="102">
        <v>22.698961006067453</v>
      </c>
      <c r="F76" s="61">
        <v>100</v>
      </c>
      <c r="G76" s="62">
        <v>13.754809570648268</v>
      </c>
      <c r="H76" s="62">
        <v>38.485680898090436</v>
      </c>
      <c r="I76" s="62">
        <v>17.852563453780483</v>
      </c>
      <c r="J76" s="62">
        <v>14.679995234528297</v>
      </c>
      <c r="K76" s="62">
        <v>7.243911983690186</v>
      </c>
      <c r="L76" s="62">
        <v>1.9797469365123821</v>
      </c>
      <c r="M76" s="62">
        <v>6.0032919227501536</v>
      </c>
    </row>
    <row r="77" spans="1:13" s="19" customFormat="1" ht="15" customHeight="1" x14ac:dyDescent="0.25">
      <c r="A77" s="37"/>
      <c r="B77" s="38" t="s">
        <v>214</v>
      </c>
      <c r="C77" s="36"/>
      <c r="D77" s="101">
        <v>751.08857502730359</v>
      </c>
      <c r="E77" s="102">
        <v>21.460273857959745</v>
      </c>
      <c r="F77" s="61">
        <v>100</v>
      </c>
      <c r="G77" s="62">
        <v>16.77259391536445</v>
      </c>
      <c r="H77" s="62">
        <v>43.954847286121336</v>
      </c>
      <c r="I77" s="62">
        <v>15.327291832244969</v>
      </c>
      <c r="J77" s="62">
        <v>8.0960257800303257</v>
      </c>
      <c r="K77" s="62">
        <v>4.2503780639069104</v>
      </c>
      <c r="L77" s="62">
        <v>3.7835762746250103</v>
      </c>
      <c r="M77" s="62">
        <v>7.8152868477072461</v>
      </c>
    </row>
    <row r="78" spans="1:13" s="19" customFormat="1" ht="15" customHeight="1" x14ac:dyDescent="0.25">
      <c r="A78" s="37"/>
      <c r="B78" s="38" t="s">
        <v>216</v>
      </c>
      <c r="C78" s="36"/>
      <c r="D78" s="101">
        <v>651.77793150601053</v>
      </c>
      <c r="E78" s="102">
        <v>19.957212263164951</v>
      </c>
      <c r="F78" s="61">
        <v>100</v>
      </c>
      <c r="G78" s="62">
        <v>17.159344460941277</v>
      </c>
      <c r="H78" s="62">
        <v>43.884335575139481</v>
      </c>
      <c r="I78" s="62">
        <v>18.864543406100136</v>
      </c>
      <c r="J78" s="62">
        <v>9.0836275679156078</v>
      </c>
      <c r="K78" s="62">
        <v>2.7120316933830129</v>
      </c>
      <c r="L78" s="62">
        <v>1.9931728282271983</v>
      </c>
      <c r="M78" s="62">
        <v>6.3029444682932985</v>
      </c>
    </row>
    <row r="79" spans="1:13" s="19" customFormat="1" ht="15" customHeight="1" x14ac:dyDescent="0.25">
      <c r="A79" s="37"/>
      <c r="B79" s="38" t="s">
        <v>218</v>
      </c>
      <c r="C79" s="36"/>
      <c r="D79" s="101">
        <v>2046.4441444982031</v>
      </c>
      <c r="E79" s="102">
        <v>26.860494513353153</v>
      </c>
      <c r="F79" s="61">
        <v>100</v>
      </c>
      <c r="G79" s="62">
        <v>11.761626070808113</v>
      </c>
      <c r="H79" s="62">
        <v>31.11082309522422</v>
      </c>
      <c r="I79" s="62">
        <v>18.983166124009671</v>
      </c>
      <c r="J79" s="62">
        <v>15.965711307412041</v>
      </c>
      <c r="K79" s="62">
        <v>9.5969090371052719</v>
      </c>
      <c r="L79" s="62">
        <v>2.8684643890996826</v>
      </c>
      <c r="M79" s="62">
        <v>9.7132999763407586</v>
      </c>
    </row>
    <row r="80" spans="1:13" s="19" customFormat="1" ht="15" customHeight="1" x14ac:dyDescent="0.25">
      <c r="A80" s="37"/>
      <c r="B80" s="38" t="s">
        <v>125</v>
      </c>
      <c r="C80" s="36"/>
      <c r="D80" s="101">
        <v>9327.4104946516873</v>
      </c>
      <c r="E80" s="102">
        <v>27.488485892201961</v>
      </c>
      <c r="F80" s="61">
        <v>100</v>
      </c>
      <c r="G80" s="62">
        <v>9.545243767248083</v>
      </c>
      <c r="H80" s="62">
        <v>30.771943316266569</v>
      </c>
      <c r="I80" s="62">
        <v>17.513229318930968</v>
      </c>
      <c r="J80" s="62">
        <v>18.265013579156296</v>
      </c>
      <c r="K80" s="62">
        <v>9.422498117387093</v>
      </c>
      <c r="L80" s="62">
        <v>4.2039272438317141</v>
      </c>
      <c r="M80" s="62">
        <v>10.278144657179594</v>
      </c>
    </row>
    <row r="81" spans="1:13" s="19" customFormat="1" ht="15" customHeight="1" x14ac:dyDescent="0.25">
      <c r="A81" s="37"/>
      <c r="B81" s="38" t="s">
        <v>126</v>
      </c>
      <c r="C81" s="36"/>
      <c r="D81" s="101">
        <v>3215.7352113005613</v>
      </c>
      <c r="E81" s="102">
        <v>24.49308308238292</v>
      </c>
      <c r="F81" s="61">
        <v>100</v>
      </c>
      <c r="G81" s="62">
        <v>11.823630390600862</v>
      </c>
      <c r="H81" s="62">
        <v>36.493604578426392</v>
      </c>
      <c r="I81" s="62">
        <v>19.276987375681969</v>
      </c>
      <c r="J81" s="62">
        <v>13.616152070426045</v>
      </c>
      <c r="K81" s="62">
        <v>7.730626009254757</v>
      </c>
      <c r="L81" s="62">
        <v>2.9835461292612302</v>
      </c>
      <c r="M81" s="62">
        <v>8.0754534463487904</v>
      </c>
    </row>
    <row r="82" spans="1:13" s="19" customFormat="1" ht="15" customHeight="1" x14ac:dyDescent="0.25">
      <c r="A82" s="37"/>
      <c r="B82" s="38" t="s">
        <v>127</v>
      </c>
      <c r="C82" s="36"/>
      <c r="D82" s="101">
        <v>678.78683304079539</v>
      </c>
      <c r="E82" s="102">
        <v>20.052681758513401</v>
      </c>
      <c r="F82" s="61">
        <v>100</v>
      </c>
      <c r="G82" s="62">
        <v>15.947073214717806</v>
      </c>
      <c r="H82" s="62">
        <v>41.518378298115735</v>
      </c>
      <c r="I82" s="62">
        <v>20.283234740719667</v>
      </c>
      <c r="J82" s="62">
        <v>12.859275897525066</v>
      </c>
      <c r="K82" s="62">
        <v>2.0552522317399662</v>
      </c>
      <c r="L82" s="62">
        <v>2.6567736784045026</v>
      </c>
      <c r="M82" s="62">
        <v>4.6800119387772972</v>
      </c>
    </row>
    <row r="83" spans="1:13" s="19" customFormat="1" ht="15" customHeight="1" x14ac:dyDescent="0.25">
      <c r="A83" s="37"/>
      <c r="B83" s="38" t="s">
        <v>12</v>
      </c>
      <c r="C83" s="36"/>
      <c r="D83" s="101">
        <v>182.1855197905401</v>
      </c>
      <c r="E83" s="102">
        <v>23.688178605270291</v>
      </c>
      <c r="F83" s="61">
        <v>100</v>
      </c>
      <c r="G83" s="62">
        <v>14.932240483608036</v>
      </c>
      <c r="H83" s="62">
        <v>40.437451247909337</v>
      </c>
      <c r="I83" s="62">
        <v>13.682232501324899</v>
      </c>
      <c r="J83" s="62">
        <v>15.256265009977396</v>
      </c>
      <c r="K83" s="62">
        <v>3.3079953390930723</v>
      </c>
      <c r="L83" s="62">
        <v>2.9159757775452766</v>
      </c>
      <c r="M83" s="62">
        <v>9.4678396405420049</v>
      </c>
    </row>
    <row r="84" spans="1:13" s="19" customFormat="1" ht="15" customHeight="1" x14ac:dyDescent="0.25">
      <c r="A84" s="63"/>
      <c r="B84" s="64"/>
      <c r="C84" s="65"/>
      <c r="D84" s="106"/>
      <c r="E84" s="107"/>
      <c r="F84" s="67"/>
      <c r="G84" s="69"/>
      <c r="H84" s="69"/>
      <c r="I84" s="69"/>
      <c r="J84" s="69"/>
      <c r="K84" s="69"/>
      <c r="L84" s="69"/>
      <c r="M84" s="69"/>
    </row>
    <row r="85" spans="1:13" s="19" customFormat="1" ht="15" customHeight="1" x14ac:dyDescent="0.25">
      <c r="A85" s="30"/>
      <c r="B85" s="70"/>
      <c r="C85" s="108"/>
      <c r="D85" s="79"/>
      <c r="E85" s="109"/>
      <c r="F85" s="110"/>
      <c r="G85" s="71"/>
      <c r="H85" s="71"/>
      <c r="I85" s="71"/>
      <c r="J85" s="71"/>
      <c r="K85" s="71"/>
      <c r="L85" s="71"/>
      <c r="M85" s="71"/>
    </row>
    <row r="86" spans="1:13" s="19" customFormat="1" ht="15" customHeight="1" x14ac:dyDescent="0.25">
      <c r="A86" s="37" t="s">
        <v>62</v>
      </c>
      <c r="B86" s="38"/>
      <c r="C86" s="36" t="s">
        <v>19</v>
      </c>
      <c r="D86" s="101"/>
      <c r="E86" s="102"/>
      <c r="F86" s="61"/>
      <c r="G86" s="62"/>
      <c r="H86" s="62"/>
      <c r="I86" s="62"/>
      <c r="J86" s="62"/>
      <c r="K86" s="62"/>
      <c r="L86" s="62"/>
      <c r="M86" s="62"/>
    </row>
    <row r="87" spans="1:13" s="19" customFormat="1" ht="15" customHeight="1" x14ac:dyDescent="0.25">
      <c r="A87" s="37"/>
      <c r="B87" s="38" t="s">
        <v>129</v>
      </c>
      <c r="C87" s="36"/>
      <c r="D87" s="101">
        <v>25664.773249417394</v>
      </c>
      <c r="E87" s="102">
        <v>23.2177235792232</v>
      </c>
      <c r="F87" s="61">
        <v>100</v>
      </c>
      <c r="G87" s="62">
        <v>12.684131279159523</v>
      </c>
      <c r="H87" s="62">
        <v>35.08931123682536</v>
      </c>
      <c r="I87" s="62">
        <v>19.25986391759217</v>
      </c>
      <c r="J87" s="62">
        <v>16.365496365827752</v>
      </c>
      <c r="K87" s="62">
        <v>7.9098566577095477</v>
      </c>
      <c r="L87" s="62">
        <v>2.6399415346021824</v>
      </c>
      <c r="M87" s="62">
        <v>6.0513990082845144</v>
      </c>
    </row>
    <row r="88" spans="1:13" s="19" customFormat="1" ht="15" customHeight="1" x14ac:dyDescent="0.25">
      <c r="A88" s="37"/>
      <c r="B88" s="38" t="s">
        <v>130</v>
      </c>
      <c r="C88" s="36"/>
      <c r="D88" s="101">
        <v>40771.804572047702</v>
      </c>
      <c r="E88" s="102">
        <v>22.9300783868172</v>
      </c>
      <c r="F88" s="61">
        <v>100</v>
      </c>
      <c r="G88" s="62">
        <v>12.4703922858389</v>
      </c>
      <c r="H88" s="62">
        <v>36.373412011021202</v>
      </c>
      <c r="I88" s="62">
        <v>19.129583945553399</v>
      </c>
      <c r="J88" s="62">
        <v>16.261100692107799</v>
      </c>
      <c r="K88" s="62">
        <v>7.4653597640790199</v>
      </c>
      <c r="L88" s="62">
        <v>2.4424432271118</v>
      </c>
      <c r="M88" s="62">
        <v>5.85770807428929</v>
      </c>
    </row>
    <row r="89" spans="1:13" s="19" customFormat="1" ht="15" customHeight="1" x14ac:dyDescent="0.25">
      <c r="A89" s="37"/>
      <c r="B89" s="38" t="s">
        <v>131</v>
      </c>
      <c r="C89" s="36"/>
      <c r="D89" s="101">
        <v>40334.342374905202</v>
      </c>
      <c r="E89" s="102">
        <v>22.956646212931499</v>
      </c>
      <c r="F89" s="61">
        <v>100</v>
      </c>
      <c r="G89" s="62">
        <v>13.8077193400108</v>
      </c>
      <c r="H89" s="62">
        <v>34.828447773458301</v>
      </c>
      <c r="I89" s="62">
        <v>19.1865143542847</v>
      </c>
      <c r="J89" s="62">
        <v>15.714033625717001</v>
      </c>
      <c r="K89" s="62">
        <v>7.8865064736088604</v>
      </c>
      <c r="L89" s="62">
        <v>2.79978145195602</v>
      </c>
      <c r="M89" s="62">
        <v>5.7769969809623696</v>
      </c>
    </row>
    <row r="90" spans="1:13" s="19" customFormat="1" ht="15" customHeight="1" x14ac:dyDescent="0.25">
      <c r="A90" s="37"/>
      <c r="B90" s="38" t="s">
        <v>132</v>
      </c>
      <c r="C90" s="36"/>
      <c r="D90" s="101">
        <v>40617.034885278779</v>
      </c>
      <c r="E90" s="102">
        <v>22.760842340869182</v>
      </c>
      <c r="F90" s="61">
        <v>100</v>
      </c>
      <c r="G90" s="62">
        <v>12.96894989838904</v>
      </c>
      <c r="H90" s="62">
        <v>36.300669248038737</v>
      </c>
      <c r="I90" s="62">
        <v>19.040530238449676</v>
      </c>
      <c r="J90" s="62">
        <v>15.90786821659591</v>
      </c>
      <c r="K90" s="62">
        <v>7.9379317840362766</v>
      </c>
      <c r="L90" s="62">
        <v>2.2851226515103558</v>
      </c>
      <c r="M90" s="62">
        <v>5.5589279629783572</v>
      </c>
    </row>
    <row r="91" spans="1:13" s="19" customFormat="1" ht="15" customHeight="1" x14ac:dyDescent="0.25">
      <c r="A91" s="37"/>
      <c r="B91" s="38" t="s">
        <v>133</v>
      </c>
      <c r="C91" s="36"/>
      <c r="D91" s="101">
        <v>38859.872400986162</v>
      </c>
      <c r="E91" s="102">
        <v>22.204707094783068</v>
      </c>
      <c r="F91" s="61">
        <v>100</v>
      </c>
      <c r="G91" s="62">
        <v>13.90455631455017</v>
      </c>
      <c r="H91" s="62">
        <v>36.326510115727054</v>
      </c>
      <c r="I91" s="62">
        <v>18.682035948328078</v>
      </c>
      <c r="J91" s="62">
        <v>15.777320152748002</v>
      </c>
      <c r="K91" s="62">
        <v>7.8518459249359545</v>
      </c>
      <c r="L91" s="62">
        <v>2.3574329847529878</v>
      </c>
      <c r="M91" s="62">
        <v>5.100298558959631</v>
      </c>
    </row>
    <row r="92" spans="1:13" s="19" customFormat="1" ht="15" customHeight="1" x14ac:dyDescent="0.25">
      <c r="A92" s="37"/>
      <c r="B92" s="38" t="s">
        <v>134</v>
      </c>
      <c r="C92" s="36"/>
      <c r="D92" s="101">
        <v>39784.224256974645</v>
      </c>
      <c r="E92" s="102">
        <v>21.940828906386791</v>
      </c>
      <c r="F92" s="61">
        <v>100</v>
      </c>
      <c r="G92" s="62">
        <v>13.9530890095273</v>
      </c>
      <c r="H92" s="62">
        <v>36.758485809540147</v>
      </c>
      <c r="I92" s="62">
        <v>19.110548122617342</v>
      </c>
      <c r="J92" s="62">
        <v>15.206599491288578</v>
      </c>
      <c r="K92" s="62">
        <v>7.5965052963947146</v>
      </c>
      <c r="L92" s="62">
        <v>2.6568185844071444</v>
      </c>
      <c r="M92" s="62">
        <v>4.7179536862254601</v>
      </c>
    </row>
    <row r="93" spans="1:13" s="19" customFormat="1" ht="15" customHeight="1" x14ac:dyDescent="0.25">
      <c r="A93" s="37"/>
      <c r="B93" s="38" t="s">
        <v>135</v>
      </c>
      <c r="C93" s="36"/>
      <c r="D93" s="101">
        <v>39190.929922373864</v>
      </c>
      <c r="E93" s="102">
        <v>23.073213390361371</v>
      </c>
      <c r="F93" s="61">
        <v>100</v>
      </c>
      <c r="G93" s="62">
        <v>11.827826321142076</v>
      </c>
      <c r="H93" s="62">
        <v>36.048698383174809</v>
      </c>
      <c r="I93" s="62">
        <v>19.526942269806224</v>
      </c>
      <c r="J93" s="62">
        <v>15.945233743228927</v>
      </c>
      <c r="K93" s="62">
        <v>7.9913238855689679</v>
      </c>
      <c r="L93" s="62">
        <v>2.5898210272920763</v>
      </c>
      <c r="M93" s="62">
        <v>6.0701543697847518</v>
      </c>
    </row>
    <row r="94" spans="1:13" s="19" customFormat="1" ht="15" customHeight="1" x14ac:dyDescent="0.25">
      <c r="A94" s="37"/>
      <c r="B94" s="38" t="s">
        <v>136</v>
      </c>
      <c r="C94" s="36"/>
      <c r="D94" s="101">
        <v>39891.149358508723</v>
      </c>
      <c r="E94" s="102">
        <v>23.257478808667269</v>
      </c>
      <c r="F94" s="61">
        <v>100</v>
      </c>
      <c r="G94" s="62">
        <v>11.718571853469353</v>
      </c>
      <c r="H94" s="62">
        <v>35.491426975395377</v>
      </c>
      <c r="I94" s="62">
        <v>19.305666679850177</v>
      </c>
      <c r="J94" s="62">
        <v>16.566261453166518</v>
      </c>
      <c r="K94" s="62">
        <v>7.9957232735228025</v>
      </c>
      <c r="L94" s="62">
        <v>2.964856387326344</v>
      </c>
      <c r="M94" s="62">
        <v>5.9574933772714633</v>
      </c>
    </row>
    <row r="95" spans="1:13" s="19" customFormat="1" ht="15" customHeight="1" x14ac:dyDescent="0.25">
      <c r="A95" s="37"/>
      <c r="B95" s="38" t="s">
        <v>192</v>
      </c>
      <c r="C95" s="36"/>
      <c r="D95" s="101">
        <v>36224.094624137819</v>
      </c>
      <c r="E95" s="102">
        <v>23.386282811129252</v>
      </c>
      <c r="F95" s="61">
        <v>100</v>
      </c>
      <c r="G95" s="62">
        <v>11.851707672950903</v>
      </c>
      <c r="H95" s="62">
        <v>34.264226415470546</v>
      </c>
      <c r="I95" s="62">
        <v>20.263703108724592</v>
      </c>
      <c r="J95" s="62">
        <v>16.80007762797608</v>
      </c>
      <c r="K95" s="62">
        <v>8.3861262336545987</v>
      </c>
      <c r="L95" s="62">
        <v>2.1320953932899203</v>
      </c>
      <c r="M95" s="62">
        <v>6.3020635479348659</v>
      </c>
    </row>
    <row r="96" spans="1:13" s="19" customFormat="1" ht="15" customHeight="1" x14ac:dyDescent="0.25">
      <c r="A96" s="37"/>
      <c r="B96" s="38" t="s">
        <v>193</v>
      </c>
      <c r="C96" s="36"/>
      <c r="D96" s="101">
        <v>34228.269818502231</v>
      </c>
      <c r="E96" s="102">
        <v>24.269684204300255</v>
      </c>
      <c r="F96" s="61">
        <v>100</v>
      </c>
      <c r="G96" s="62">
        <v>11.230031858549049</v>
      </c>
      <c r="H96" s="62">
        <v>34.022795049265085</v>
      </c>
      <c r="I96" s="62">
        <v>19.796644397401728</v>
      </c>
      <c r="J96" s="62">
        <v>16.864562408527242</v>
      </c>
      <c r="K96" s="62">
        <v>8.2142242949239233</v>
      </c>
      <c r="L96" s="62">
        <v>2.4169417519220886</v>
      </c>
      <c r="M96" s="62">
        <v>7.4548002394134762</v>
      </c>
    </row>
    <row r="97" spans="1:13" s="19" customFormat="1" ht="15" customHeight="1" x14ac:dyDescent="0.25">
      <c r="A97" s="37"/>
      <c r="B97" s="38" t="s">
        <v>205</v>
      </c>
      <c r="C97" s="36"/>
      <c r="D97" s="101">
        <f t="shared" ref="D97:M97" si="0">D$9</f>
        <v>32106.115920671153</v>
      </c>
      <c r="E97" s="102">
        <f t="shared" si="0"/>
        <v>25.327024973228422</v>
      </c>
      <c r="F97" s="61">
        <f t="shared" si="0"/>
        <v>100</v>
      </c>
      <c r="G97" s="62">
        <f t="shared" si="0"/>
        <v>10.640250308747866</v>
      </c>
      <c r="H97" s="62">
        <f t="shared" si="0"/>
        <v>33.983993493640867</v>
      </c>
      <c r="I97" s="62">
        <f t="shared" si="0"/>
        <v>18.69939010651132</v>
      </c>
      <c r="J97" s="62">
        <f t="shared" si="0"/>
        <v>16.374569648471624</v>
      </c>
      <c r="K97" s="62">
        <f t="shared" si="0"/>
        <v>8.5567706934743697</v>
      </c>
      <c r="L97" s="62">
        <f t="shared" si="0"/>
        <v>3.2426039261062418</v>
      </c>
      <c r="M97" s="62">
        <f t="shared" si="0"/>
        <v>8.502421823047742</v>
      </c>
    </row>
    <row r="98" spans="1:13" ht="5.0999999999999996" customHeight="1" x14ac:dyDescent="0.25">
      <c r="A98" s="111"/>
      <c r="B98" s="112"/>
      <c r="C98" s="113"/>
      <c r="D98" s="115"/>
      <c r="E98" s="116"/>
      <c r="F98" s="117"/>
      <c r="G98" s="118"/>
      <c r="H98" s="118"/>
      <c r="I98" s="118"/>
      <c r="J98" s="118"/>
      <c r="K98" s="118"/>
      <c r="L98" s="118"/>
      <c r="M98" s="118"/>
    </row>
  </sheetData>
  <mergeCells count="14">
    <mergeCell ref="K6:K7"/>
    <mergeCell ref="L6:L7"/>
    <mergeCell ref="M6:M7"/>
    <mergeCell ref="A2:M2"/>
    <mergeCell ref="A1:M1"/>
    <mergeCell ref="A3:M3"/>
    <mergeCell ref="A5:C7"/>
    <mergeCell ref="E5:E7"/>
    <mergeCell ref="F5:F7"/>
    <mergeCell ref="G6:G7"/>
    <mergeCell ref="H6:H7"/>
    <mergeCell ref="I6:I7"/>
    <mergeCell ref="J6:J7"/>
    <mergeCell ref="D5:D7"/>
  </mergeCells>
  <phoneticPr fontId="1" type="noConversion"/>
  <printOptions horizontalCentered="1"/>
  <pageMargins left="0.47244094488188981" right="0.47244094488188981" top="0.51181102362204722" bottom="0.51181102362204722" header="0.51181102362204722" footer="0.39370078740157483"/>
  <pageSetup paperSize="9" scale="90" orientation="portrait" r:id="rId1"/>
  <headerFooter alignWithMargins="0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30</vt:i4>
      </vt:variant>
    </vt:vector>
  </HeadingPairs>
  <TitlesOfParts>
    <vt:vector size="60" baseType="lpstr">
      <vt:lpstr>封面_公布版</vt:lpstr>
      <vt:lpstr>目錄頁</vt:lpstr>
      <vt:lpstr>A</vt:lpstr>
      <vt:lpstr>A01</vt:lpstr>
      <vt:lpstr>A02</vt:lpstr>
      <vt:lpstr>A03</vt:lpstr>
      <vt:lpstr>A04</vt:lpstr>
      <vt:lpstr>B</vt:lpstr>
      <vt:lpstr>B05</vt:lpstr>
      <vt:lpstr>B06</vt:lpstr>
      <vt:lpstr>B07</vt:lpstr>
      <vt:lpstr>C</vt:lpstr>
      <vt:lpstr>C08</vt:lpstr>
      <vt:lpstr>C09</vt:lpstr>
      <vt:lpstr>C10</vt:lpstr>
      <vt:lpstr>C11</vt:lpstr>
      <vt:lpstr>C12</vt:lpstr>
      <vt:lpstr>C13</vt:lpstr>
      <vt:lpstr>D</vt:lpstr>
      <vt:lpstr>D14</vt:lpstr>
      <vt:lpstr>D15</vt:lpstr>
      <vt:lpstr>D16</vt:lpstr>
      <vt:lpstr>D17</vt:lpstr>
      <vt:lpstr>D18</vt:lpstr>
      <vt:lpstr>D19</vt:lpstr>
      <vt:lpstr>表E</vt:lpstr>
      <vt:lpstr>E20</vt:lpstr>
      <vt:lpstr>E21</vt:lpstr>
      <vt:lpstr>E22</vt:lpstr>
      <vt:lpstr>E23</vt:lpstr>
      <vt:lpstr>'A04'!Print_Area</vt:lpstr>
      <vt:lpstr>'C08'!Print_Area</vt:lpstr>
      <vt:lpstr>'C11'!Print_Area</vt:lpstr>
      <vt:lpstr>'D14'!Print_Area</vt:lpstr>
      <vt:lpstr>'D17'!Print_Area</vt:lpstr>
      <vt:lpstr>'D18'!Print_Area</vt:lpstr>
      <vt:lpstr>目錄頁!Print_Area</vt:lpstr>
      <vt:lpstr>'A01'!Print_Titles</vt:lpstr>
      <vt:lpstr>'A02'!Print_Titles</vt:lpstr>
      <vt:lpstr>'A03'!Print_Titles</vt:lpstr>
      <vt:lpstr>'A04'!Print_Titles</vt:lpstr>
      <vt:lpstr>'B05'!Print_Titles</vt:lpstr>
      <vt:lpstr>'B06'!Print_Titles</vt:lpstr>
      <vt:lpstr>'B07'!Print_Titles</vt:lpstr>
      <vt:lpstr>'C08'!Print_Titles</vt:lpstr>
      <vt:lpstr>'C09'!Print_Titles</vt:lpstr>
      <vt:lpstr>'C10'!Print_Titles</vt:lpstr>
      <vt:lpstr>'C11'!Print_Titles</vt:lpstr>
      <vt:lpstr>'C12'!Print_Titles</vt:lpstr>
      <vt:lpstr>'C13'!Print_Titles</vt:lpstr>
      <vt:lpstr>'D14'!Print_Titles</vt:lpstr>
      <vt:lpstr>'D15'!Print_Titles</vt:lpstr>
      <vt:lpstr>'D16'!Print_Titles</vt:lpstr>
      <vt:lpstr>'D17'!Print_Titles</vt:lpstr>
      <vt:lpstr>'D18'!Print_Titles</vt:lpstr>
      <vt:lpstr>'D19'!Print_Titles</vt:lpstr>
      <vt:lpstr>'E20'!Print_Titles</vt:lpstr>
      <vt:lpstr>'E21'!Print_Titles</vt:lpstr>
      <vt:lpstr>'E22'!Print_Titles</vt:lpstr>
      <vt:lpstr>'E23'!Print_Titles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 red</dc:creator>
  <cp:lastModifiedBy>張富凱</cp:lastModifiedBy>
  <cp:lastPrinted>2025-06-17T07:43:20Z</cp:lastPrinted>
  <dcterms:created xsi:type="dcterms:W3CDTF">2020-10-13T03:01:08Z</dcterms:created>
  <dcterms:modified xsi:type="dcterms:W3CDTF">2025-06-17T08:49:16Z</dcterms:modified>
</cp:coreProperties>
</file>